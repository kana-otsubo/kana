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機能一覧整理" sheetId="1" r:id="rId4"/>
    <sheet state="visible" name="凡例・運用方針" sheetId="2" r:id="rId5"/>
  </sheets>
  <definedNames>
    <definedName hidden="1" localSheetId="0" name="_xlnm._FilterDatabase">'機能一覧整理'!$A$1:$P$81</definedName>
  </definedNames>
  <calcPr/>
  <extLst>
    <ext uri="GoogleSheetsCustomDataVersion2">
      <go:sheetsCustomData xmlns:go="http://customooxmlschemas.google.com/" r:id="rId6" roundtripDataChecksum="EtYmyFwmx9em/oDaWNntWYVsEz3mCyluNk9G0ipR/K8="/>
    </ext>
  </extLst>
</workbook>
</file>

<file path=xl/sharedStrings.xml><?xml version="1.0" encoding="utf-8"?>
<sst xmlns="http://schemas.openxmlformats.org/spreadsheetml/2006/main" count="944" uniqueCount="497">
  <si>
    <t>#</t>
  </si>
  <si>
    <t>大項目</t>
  </si>
  <si>
    <t>中項目</t>
  </si>
  <si>
    <t>機能名</t>
  </si>
  <si>
    <t>画面・デバイス</t>
  </si>
  <si>
    <t>概要</t>
  </si>
  <si>
    <t>追加日</t>
  </si>
  <si>
    <t>開発優先度</t>
  </si>
  <si>
    <t>必要時期</t>
  </si>
  <si>
    <t>フェーズ</t>
  </si>
  <si>
    <t>代替手段</t>
  </si>
  <si>
    <t>期限</t>
  </si>
  <si>
    <t>優先度</t>
  </si>
  <si>
    <t>先生コメント</t>
  </si>
  <si>
    <t>返信・補足</t>
  </si>
  <si>
    <t>合意</t>
  </si>
  <si>
    <t>B-01</t>
  </si>
  <si>
    <t>基盤</t>
  </si>
  <si>
    <t>バックエンド基盤</t>
  </si>
  <si>
    <t>Expressサーバー</t>
  </si>
  <si>
    <t>(共通基盤/バックエンド)</t>
  </si>
  <si>
    <t>アプリ全体を動かすためのサーバー基盤。データのやり取りや画面表示の土台となる部分。</t>
  </si>
  <si>
    <t>v1初版</t>
  </si>
  <si>
    <t>🔴 MUST</t>
  </si>
  <si>
    <t>—</t>
  </si>
  <si>
    <t>実装済</t>
  </si>
  <si>
    <t>なし</t>
  </si>
  <si>
    <t>B-02</t>
  </si>
  <si>
    <t>DB接続・テーブル</t>
  </si>
  <si>
    <t>プログラム・生徒情報など、入力したデータを保存しておくデータベースの仕組み。</t>
  </si>
  <si>
    <t>B-03</t>
  </si>
  <si>
    <t>基本API構造</t>
  </si>
  <si>
    <t>アプリ画面とサーバーの間でデータをやり取りするための道筋・ルール。</t>
  </si>
  <si>
    <t>A-01</t>
  </si>
  <si>
    <t>認証・セッション管理</t>
  </si>
  <si>
    <t>先生登録・ログイン</t>
  </si>
  <si>
    <t>先生SP / ログイン画面</t>
  </si>
  <si>
    <t>先生がIDとパスワードでアプリにログインする仕組み。複数の教室に所属している先生にも対応。</t>
  </si>
  <si>
    <t>A-02</t>
  </si>
  <si>
    <t>PC管理画面ログイン</t>
  </si>
  <si>
    <t>本部PC / ログイン画面</t>
  </si>
  <si>
    <t>カナ先生など本部管理者が、PC上の管理画面にログインする仕組み(ID/パスワード)。7月からカナ先生が使い始めるため必須。</t>
  </si>
  <si>
    <t>7月</t>
  </si>
  <si>
    <t>A-03</t>
  </si>
  <si>
    <t>セッションコード発行</t>
  </si>
  <si>
    <t>先生SP / 教室起動画面</t>
  </si>
  <si>
    <t>レッスン開始時に先生が「教室を起動」を押すと、4〜6桁の英数字コードが発行される。このコードを使ってタブレットやディスプレイがレッスンに参加できる。</t>
  </si>
  <si>
    <t>🟡 SHOULD</t>
  </si>
  <si>
    <t>9月</t>
  </si>
  <si>
    <t>固定番号での接続(検証用)</t>
  </si>
  <si>
    <t>A-04</t>
  </si>
  <si>
    <t>デバイス接続</t>
  </si>
  <si>
    <t>TV + 子どもTB / コード入力画面</t>
  </si>
  <si>
    <t>タブレットやディスプレイで、先生が発行したコードを入力してレッスンに参加する仕組み。</t>
  </si>
  <si>
    <t>A-03と同様</t>
  </si>
  <si>
    <t>A-05</t>
  </si>
  <si>
    <t>生徒選択・出席記録</t>
  </si>
  <si>
    <t>先生SP / 子どもTB / 生徒選択画面</t>
  </si>
  <si>
    <t>タブレットでレッスン参加後、生徒が自分の名前を一覧から選ぶと自動で出席記録される機能。</t>
  </si>
  <si>
    <t>先生が手動で出席記録</t>
  </si>
  <si>
    <t>タブレットログインを取得して出席扱い
手動でも欠席登録ができるように</t>
  </si>
  <si>
    <t>C-01</t>
  </si>
  <si>
    <t>本部機能</t>
  </si>
  <si>
    <t>プログラム管理</t>
  </si>
  <si>
    <t>プログラム一覧</t>
  </si>
  <si>
    <t>本部PC / プログラム一覧画面(P-02)</t>
  </si>
  <si>
    <t>本部管理画面で、作成済みのレッスンプログラムを一覧で見る画面。年齢別・月別で絞り込み、キーワード検索、複製・削除ができる。本部管理者の基本作業画面。</t>
  </si>
  <si>
    <t>C-02</t>
  </si>
  <si>
    <t>プログラム作成/編集</t>
  </si>
  <si>
    <t>本部PC / プログラム作成・編集画面(P-03)</t>
  </si>
  <si>
    <t>本部管理画面で新しいレッスンプログラムを作成・編集する画面。教材を選んでドラッグ&amp;ドロップで並べ替え、テンプレート保存、4段階レベル設定、先生向けヒント欄、大分類選択ができる。</t>
  </si>
  <si>
    <t>作成したプログラムをフィルタリングする要素が必要</t>
  </si>
  <si>
    <t>C-03</t>
  </si>
  <si>
    <t>コンテンツ管理</t>
  </si>
  <si>
    <t>コンテンツライブラリ</t>
  </si>
  <si>
    <t>本部PC / コンテンツライブラリ画面(P-04)</t>
  </si>
  <si>
    <t>使える教材(動画、フラッシュカード、ゲームなど)を一覧で見て、絞り込み・検索・プレビューができる画面。あった方がプログラム作成の効率が上がる。</t>
  </si>
  <si>
    <t>コンテンツIDを直接指定して組み立て</t>
  </si>
  <si>
    <t>C-04</t>
  </si>
  <si>
    <t>レッスン結果確認</t>
  </si>
  <si>
    <t>レッスン実施結果</t>
  </si>
  <si>
    <t>本部PC / レッスン結果確認画面(P-05)</t>
  </si>
  <si>
    <t>実際に行ったレッスンが、当初予定していたプログラムとどう違ったか(入替・スキップ・追加)を比較表示する画面。変更理由も確認できる。</t>
  </si>
  <si>
    <t>🟢 CAN</t>
  </si>
  <si>
    <t>DBクエリで直接確認(初期運用)</t>
  </si>
  <si>
    <t>わかりやすい形で
先生の操作を検知できる仕組み
今後の分析用</t>
  </si>
  <si>
    <t>C-05</t>
  </si>
  <si>
    <t>テンプレート・再利用</t>
  </si>
  <si>
    <t>テンプレート機能</t>
  </si>
  <si>
    <t>本部PC / テンプレート画面</t>
  </si>
  <si>
    <t>よく使うプログラムをテンプレートとして保存しておき、後から呼び出して使える機能。共有設定も可能。</t>
  </si>
  <si>
    <t>プログラムの手動コピー(複製して編集)</t>
  </si>
  <si>
    <t>C-06</t>
  </si>
  <si>
    <t>大分類/小分類管理</t>
  </si>
  <si>
    <t>本部PC / 分類管理画面</t>
  </si>
  <si>
    <t>ゲーム類を大きなカテゴリ(大分類:育脳/復習/30秒動画など)と小さなカテゴリ(小分類:星/数/形など)で整理・管理する仕組み。育脳ゲームは350本(うち50本完成済)、復習ゲーム(=Kulabo風ゲーム)は5000本ある想定。これがないと数千本のゲーム管理が破綻する。</t>
  </si>
  <si>
    <t>2026-04-22</t>
  </si>
  <si>
    <t>C-07</t>
  </si>
  <si>
    <t>4段階レベル管理</t>
  </si>
  <si>
    <t>各ジャンルで星1〜星4の4段階の難易度を設定できる機能。生徒のレベルに応じた選択がしやすくなる。</t>
  </si>
  <si>
    <t>レベル無しで平坦な一覧、後から追加</t>
  </si>
  <si>
    <t>C-08</t>
  </si>
  <si>
    <t>ジャンル細分類管理</t>
  </si>
  <si>
    <t>大分類・小分類のさらに下のレベル(例:数の大きさ、種類など)を細かく分類して管理する機能。細分類の切り方は要相談。</t>
  </si>
  <si>
    <t>大分類・小分類だけで運用</t>
  </si>
  <si>
    <t>実際にレッスンを作って、共有いただく（今週中</t>
  </si>
  <si>
    <t>C-09</t>
  </si>
  <si>
    <t>先生サポート情報管理</t>
  </si>
  <si>
    <t>本部PC / プログラム作成画面(先生サポート情報入力欄)</t>
  </si>
  <si>
    <t>各コンテンツに「ヒント」「子どもへの声かけポイント」「解説」を入力しておき、レッスン中に先生のデバイスに表示する機能。指導品質を全先生で揃えるための仕組み(E-10と連携)。</t>
  </si>
  <si>
    <t>先生研修、口頭での引き継ぎ</t>
  </si>
  <si>
    <t>AI読み上げを選択できるような仕組みがあるよよい
AIがレッスンに登録された、テキスト情報を読み上げるカラムを用意して、読み上げさせる
日本語 / ロンドン / ベトナム語</t>
  </si>
  <si>
    <t>I-01</t>
  </si>
  <si>
    <t>データ投入(CSV)</t>
  </si>
  <si>
    <t>CSVインポート</t>
  </si>
  <si>
    <t>本部PC / CSVインポート画面</t>
  </si>
  <si>
    <t>Excel(CSV形式)で作成したプログラムや問題のデータを、まとめてアプリに取り込める機能。エラーがあれば報告される。</t>
  </si>
  <si>
    <t>DB直接投入 or 画面手入力に逃がす</t>
  </si>
  <si>
    <t>I-02</t>
  </si>
  <si>
    <t>ユニーク管理番号(ID)</t>
  </si>
  <si>
    <t>(共通基盤/データ構造)</t>
  </si>
  <si>
    <t>各データに重複しない番号を自動で振る仕組み。これがあるとCSV更新時に「どのデータを更新するか」を間違えず特定できる。</t>
  </si>
  <si>
    <t>競合データを許容、DB操作で競合削除</t>
  </si>
  <si>
    <t>I-03</t>
  </si>
  <si>
    <t>CSVエクスポート</t>
  </si>
  <si>
    <t>本部PC / CSVエクスポート画面</t>
  </si>
  <si>
    <t>アプリ内のデータをCSV形式で取り出せる機能。Excelで編集してから再度取り込む運用が可能になる。</t>
  </si>
  <si>
    <t>DBダンプで代替(初期運用)</t>
  </si>
  <si>
    <t>I-04</t>
  </si>
  <si>
    <t>CSVアップデート</t>
  </si>
  <si>
    <t>特定の列だけまとめて更新する機能(例:先生向けアドバイス欄を後から追加するなど)。</t>
  </si>
  <si>
    <t>DB直接、全データ入れ直し、全データの更新</t>
  </si>
  <si>
    <t>D-01</t>
  </si>
  <si>
    <t>教室機能</t>
  </si>
  <si>
    <t>先生操作(教室アプリ)</t>
  </si>
  <si>
    <t>プログラム表示</t>
  </si>
  <si>
    <t>先生SP / レッスン進行画面(T-03)</t>
  </si>
  <si>
    <t>教室アプリで、本日のレッスンプログラムをカード形式で一覧表示する画面。先生はこれを見ながら進行する。</t>
  </si>
  <si>
    <t>D-02</t>
  </si>
  <si>
    <t>順番入替</t>
  </si>
  <si>
    <t>先生SP / レッスン進行画面・構成エディター画面</t>
  </si>
  <si>
    <t>レッスン中、コンテンツの順番をドラッグ&amp;ドロップや上下ボタンで入れ替えられる機能。</t>
  </si>
  <si>
    <t>元の順番のまま進行(現場判断でスキップ等)</t>
  </si>
  <si>
    <t>オフライン時には入れ替えが行え物とします</t>
  </si>
  <si>
    <t>D-03</t>
  </si>
  <si>
    <t>レッスンスキップ</t>
  </si>
  <si>
    <t>先生SP / レッスン進行画面</t>
  </si>
  <si>
    <t>予定していたコンテンツを飛ばす機能。スキップした理由をメモで残せる(後から取消も可能)。</t>
  </si>
  <si>
    <t>次のコンテンツに進むだけ(理由記録なし)</t>
  </si>
  <si>
    <t>⓵実施中は先生タブレットにスキップボタンを設置（本当にスキップしますかの２ステップ）
②一覧上ではスキップチェックマーク（誤タップエラーは防げない）</t>
  </si>
  <si>
    <t>D-04</t>
  </si>
  <si>
    <t>テンプレート保存・読込</t>
  </si>
  <si>
    <t>先生SP / 構成エディター画面</t>
  </si>
  <si>
    <t>教室アプリ側でも、その日の構成をテンプレートとして保存・呼び出しできる機能。共有設定も可能。</t>
  </si>
  <si>
    <t>C-05(本部のテンプレート機能)で代用</t>
  </si>
  <si>
    <t>本部システムの、プログラムに紐づいていなければ呼び出しは不可能なことは留意</t>
  </si>
  <si>
    <t>D-06</t>
  </si>
  <si>
    <t>変更履歴記録</t>
  </si>
  <si>
    <t>先生SP / (バックグラウンド)</t>
  </si>
  <si>
    <t>レッスン中に行ったすべての変更(入替・スキップ・追加)を履歴として自動記録する機能。</t>
  </si>
  <si>
    <t>10月〜</t>
  </si>
  <si>
    <t>振り返り時に先生が手動記録</t>
  </si>
  <si>
    <t>D-07</t>
  </si>
  <si>
    <t>レッスン進行</t>
  </si>
  <si>
    <t>ハプニング対策</t>
  </si>
  <si>
    <t>レッスン中に予期せぬ事態(タブレットが固まる、子どもが混乱する等)が起きた時、現在のコンテンツをスキップ/前のものをリピート/任意の位置に戻る、ができる機能。</t>
  </si>
  <si>
    <t>先生が画面操作で手動対応</t>
  </si>
  <si>
    <t>先生スマホにリモコンとしての機能を強化する。
例外としてオフライン時は考慮しないものとする。</t>
  </si>
  <si>
    <t>D-08</t>
  </si>
  <si>
    <t>ホーム画面(ダッシュボード)</t>
  </si>
  <si>
    <t>先生SP / ホーム画面</t>
  </si>
  <si>
    <t>先生がアプリを開いた時に最初に表示される画面。本日のレッスン予定を一覧表示し、構成エディター・コンテンツ管理・生徒管理・レッスン開始への導線を提供する。</t>
  </si>
  <si>
    <t>2026-04-24</t>
  </si>
  <si>
    <t>直接レッスン進行画面に入る導線のみ</t>
  </si>
  <si>
    <t>一日分が時間割のように表示され、選択したときに、そのコマのレッスン管理が開く（プログラム管理を開く）</t>
  </si>
  <si>
    <t>D-09</t>
  </si>
  <si>
    <t>構成エディター画面</t>
  </si>
  <si>
    <t>先生のスマホ上でレッスン構成を編集する画面。ドラッグ&amp;ドロップで順番入替、コンテンツ追加、テンプレート保存・読込ができる(D-02/D-04/D-05の操作UI本体)。</t>
  </si>
  <si>
    <t>本部PCで事前編集のみ</t>
  </si>
  <si>
    <t>D-10</t>
  </si>
  <si>
    <t>生徒管理画面</t>
  </si>
  <si>
    <t>先生SP / 生徒管理画面</t>
  </si>
  <si>
    <t>担当する生徒の一覧を表示し、個別情報の確認・メモ入力ができる画面。F-03(生徒情報入力枠)のUIも含む。</t>
  </si>
  <si>
    <t>手書きの生徒名簿で管理</t>
  </si>
  <si>
    <t>導線はプログラム管理配下をイメージしているが、先生のその日の受け持った生徒のフィードバック入力用の一覧画面も検討（こちらはＣＡＮ）</t>
  </si>
  <si>
    <t>D-11</t>
  </si>
  <si>
    <t>レッスン後画面(結果一覧)</t>
  </si>
  <si>
    <t>先生SP / レッスン後画面</t>
  </si>
  <si>
    <t>レッスン終了後に表示される画面。結果一覧・振り返り入力(F-02)・アドバイス送信(X-07)への導線を提供する。あとからでも入力できるようにする。</t>
  </si>
  <si>
    <t>レッスン進行画面から直接操作</t>
  </si>
  <si>
    <t xml:space="preserve">振り返り機能に、追加してやった取り組み（アナログレッスンの実施の結果など）を記載できるように
入力必須の項目があれば、アラート表示が必要
</t>
  </si>
  <si>
    <t>D-12</t>
  </si>
  <si>
    <t>終了済みコンテンツのグレーアウト表示</t>
  </si>
  <si>
    <t>レッスン中に「終了済み」のコンテンツボタンを自動でグレーアウトし、進行状況を一目で分かるようにする機能。</t>
  </si>
  <si>
    <t>先生の記憶で進行管理</t>
  </si>
  <si>
    <t>D-13</t>
  </si>
  <si>
    <t>先生のレッスン管理</t>
  </si>
  <si>
    <t>「今週のレッスン」
今週行うレッスン一覧が表示される
年齢４種/曜日/時間
時間割イメージ</t>
  </si>
  <si>
    <t>先生の予定表で確認</t>
  </si>
  <si>
    <t>先生のダッシュボード強化
１日viewとは別に週表示viewを用意
学校の時間割のイメージ（UIも）
一コマの時間割を押すと、その日その時間のレッスン管理画面が開く（プログラム管理を開く）</t>
  </si>
  <si>
    <t>D-14</t>
  </si>
  <si>
    <t>コンテンツ追加</t>
  </si>
  <si>
    <t>先生SP / コンテンツ追加ダイアログ</t>
  </si>
  <si>
    <t>レッスン中に「もう少しやりたい」と思った時、年齢・月・週で絞り込んでコンテンツライブラリから追加できる機能。</t>
  </si>
  <si>
    <t>事前にプログラムを完成させて当日は変更しない運用</t>
  </si>
  <si>
    <t>E-09</t>
  </si>
  <si>
    <t>先生操作パネル</t>
  </si>
  <si>
    <t>先生SP / レッスン進行画面(T-07)</t>
  </si>
  <si>
    <t>3つのデバイス(先生のスマホ、ディスプレイ、生徒タブレット)を同期させながら、コンテンツの再生/停止、順番入替、スキップ、音量調整、同期切替を操作するパネル。レッスン進行の中核。</t>
  </si>
  <si>
    <t>S-01</t>
  </si>
  <si>
    <t>レッスン配信</t>
  </si>
  <si>
    <t>デバイス同期基盤</t>
  </si>
  <si>
    <t>WebSocket接続管理</t>
  </si>
  <si>
    <t>先生のスマホ・ディスプレイ・タブレットを「同じレッスンの仲間」としてつなげる仕組み(セッションコード単位でルーム管理)。3デバイス同期の前提。</t>
  </si>
  <si>
    <t>S-02</t>
  </si>
  <si>
    <t>コンテンツ制御メッセージ</t>
  </si>
  <si>
    <t>先生のスマホで「再生」を押すと、ディスプレイとタブレットでも同時に再生される、といった同期動作の中身(再生/停止/再開/次へなど)。</t>
  </si>
  <si>
    <t>S-03</t>
  </si>
  <si>
    <t>同期切替</t>
  </si>
  <si>
    <t>全デバイスを完全に同期させるか、各デバイスで個別操作可能にするかを切り替えられる機能。</t>
  </si>
  <si>
    <t>S-04</t>
  </si>
  <si>
    <t>音量制御</t>
  </si>
  <si>
    <t>先生のスマホから、ディスプレイや各タブレットの音量を遠隔で調整できる機能。</t>
  </si>
  <si>
    <t>各デバイスで個別音量調整</t>
  </si>
  <si>
    <t>オフライン時には無効</t>
  </si>
  <si>
    <t>S-05</t>
  </si>
  <si>
    <t>再接続処理</t>
  </si>
  <si>
    <t>全デバイス / (バックグラウンド)</t>
  </si>
  <si>
    <t>WiFiが一時的に切れても自動で再接続を試みる機能(3秒→30秒間隔、最大10回)。</t>
  </si>
  <si>
    <t>手動で画面リロード</t>
  </si>
  <si>
    <t>S-06</t>
  </si>
  <si>
    <t>状態復元</t>
  </si>
  <si>
    <t>WiFi切断から復帰した時、レッスンの現在地点を自動で取り戻して再開できる機能。</t>
  </si>
  <si>
    <t>先生がレッスンを最初から再開</t>
  </si>
  <si>
    <t>同期ズレに不整合があれば、そのレッスンを最初からに</t>
  </si>
  <si>
    <t>T-01</t>
  </si>
  <si>
    <t>ディスプレイ表示</t>
  </si>
  <si>
    <t>TV待機画面</t>
  </si>
  <si>
    <t>TV / 待機画面</t>
  </si>
  <si>
    <t>レッスン前・コンテンツ切替の合間に大型ディスプレイに表示される画面。教室名・本日の予定などを表示。</t>
  </si>
  <si>
    <t>黒画面・ロゴ表示のみ</t>
  </si>
  <si>
    <t>T-02</t>
  </si>
  <si>
    <t>TVレッスン画面(基本枠)</t>
  </si>
  <si>
    <t>TV / レッスン画面</t>
  </si>
  <si>
    <t>先生の操作に連動してコンテンツ(動画/フラッシュカード/ゲーム/歌)を表示する大型ディスプレイの基本画面枠。E-01〜E-07の表示先。</t>
  </si>
  <si>
    <t>TB-01</t>
  </si>
  <si>
    <t>子どもタブレット表示</t>
  </si>
  <si>
    <t>子どもTB待機画面(名前表示)</t>
  </si>
  <si>
    <t>子どもTB / 待機画面</t>
  </si>
  <si>
    <t>子ども一人ひとりの名前を表示し、挨拶メッセージ(例:「○○ちゃん、こんにちは!」)を表示する待機画面。レッスン開始待ちの状態。</t>
  </si>
  <si>
    <t>汎用待機画面</t>
  </si>
  <si>
    <t>TB-02</t>
  </si>
  <si>
    <t>子どもTBレッスン画面(基本枠)</t>
  </si>
  <si>
    <t>子どもTB / レッスン画面</t>
  </si>
  <si>
    <t>TVと同期して表示する子どもタブレットの基本画面枠。動画・フラッシュカードは表示のみ、ゲーム・問題は個別操作可能。</t>
  </si>
  <si>
    <t>E-01</t>
  </si>
  <si>
    <t>コンテンツ再生</t>
  </si>
  <si>
    <t>動画再生・同期</t>
  </si>
  <si>
    <t>TV + 子どもTB / レッスン画面</t>
  </si>
  <si>
    <t>レッスン用動画を全デバイスで同時に再生する機能。</t>
  </si>
  <si>
    <t>E-02</t>
  </si>
  <si>
    <t>フラッシュカード表示</t>
  </si>
  <si>
    <t>フラッシュカード(画像とテキストの組み合わせ)を表示する基本機能。カナ先生要望で最優先。※キラキラ・動き・レアカードなどのゲーム化要素は今フェーズ外、後フェーズで対応。</t>
  </si>
  <si>
    <t>コレクション要素は次フェーズなどで</t>
  </si>
  <si>
    <t>E-03</t>
  </si>
  <si>
    <t>育脳ゲーム</t>
  </si>
  <si>
    <t>TV + 子どもTB / ゲーム画面</t>
  </si>
  <si>
    <t>育脳ゲーム(脳トレ系のミニゲーム、全350本予定/うち50本完成済み)をレッスン中にタブレットで個別回答できる形で表示・実行する機能。残りの300本は来年8月までに段階的開発。</t>
  </si>
  <si>
    <t>E-04</t>
  </si>
  <si>
    <t>HL専用問題</t>
  </si>
  <si>
    <t>TV + 子どもTB / 問題画面</t>
  </si>
  <si>
    <t>ハイブリッドレッスン専用に作られた問題コンテンツを表示する機能。</t>
  </si>
  <si>
    <t>9月〜</t>
  </si>
  <si>
    <t>他種別で代替</t>
  </si>
  <si>
    <t>E-05</t>
  </si>
  <si>
    <t>歌・BGM再生</t>
  </si>
  <si>
    <t>TV / レッスン画面(音声出力)</t>
  </si>
  <si>
    <t>歌やBGMを全デバイスで同期して再生する機能(音声は大型ディスプレイ側から出力)。</t>
  </si>
  <si>
    <t>E-06</t>
  </si>
  <si>
    <t>リトミック再生</t>
  </si>
  <si>
    <t>リトミック用のコンテンツを再生する機能。</t>
  </si>
  <si>
    <t>動画再生で代替</t>
  </si>
  <si>
    <t>E-07</t>
  </si>
  <si>
    <t>事物遊び</t>
  </si>
  <si>
    <t>TV / レッスン画面(BGMのみ)</t>
  </si>
  <si>
    <t>事物遊び(具体物を使った遊び)用のコンテンツを再生する機能(タブレットは待機画面、実物で遊ぶ)。</t>
  </si>
  <si>
    <t>BGM単体再生</t>
  </si>
  <si>
    <t>E-08</t>
  </si>
  <si>
    <t>コンテンツ一括DL</t>
  </si>
  <si>
    <t>先生SP, TV, 子どもTB / DL進捗画面</t>
  </si>
  <si>
    <t>レッスン前に必要なコンテンツをすべてタブレットにダウンロードしておき、WiFi切断時でもレッスンが続けられるようにする機能。進捗バー表示あり。オフライン対応の前提。</t>
  </si>
  <si>
    <t>E-10</t>
  </si>
  <si>
    <t>先生サポート情報表示</t>
  </si>
  <si>
    <t>先生SP / レッスン進行画面(ヒント表示欄)</t>
  </si>
  <si>
    <t>各コンテンツに登録されたヒント・解説を、先生のデバイスだけに表示する機能(C-09と連動)。</t>
  </si>
  <si>
    <t>E-11</t>
  </si>
  <si>
    <t>子ども個別回答</t>
  </si>
  <si>
    <t>子どもTB / ゲーム画面</t>
  </si>
  <si>
    <t>生徒が自分のタブレットから個別に回答できる機能(全員一斉ではなく、それぞれのペースで回答)。</t>
  </si>
  <si>
    <t>先生が代表操作</t>
  </si>
  <si>
    <t>E-12</t>
  </si>
  <si>
    <t>復習ゲーム(Kulabo風)</t>
  </si>
  <si>
    <t>復習ゲーム(=Kulabo風ゲーム、全5000本)をレッスン中に表示する機能。先生が問題を声で読み上げ、子どもがタブレットで個別回答する形式。</t>
  </si>
  <si>
    <t>ハイブリッドレッスン用に200本くらいに絞るとのこと</t>
  </si>
  <si>
    <t>H-01</t>
  </si>
  <si>
    <t>緊急対応</t>
  </si>
  <si>
    <t>切断検知・緊急モード</t>
  </si>
  <si>
    <t>全デバイス</t>
  </si>
  <si>
    <t>WiFi切断を検知して、再接続が10回失敗すると緊急操作モードに切り替わる機能。レッスンが止まらないように。</t>
  </si>
  <si>
    <t>H-02</t>
  </si>
  <si>
    <t>タブレット直接操作</t>
  </si>
  <si>
    <t>子どもTB / 緊急モード画面</t>
  </si>
  <si>
    <t>緊急時、タブレット側からも直接コンテンツの画面切替ができるようにする機能。</t>
  </si>
  <si>
    <t>H-03</t>
  </si>
  <si>
    <t>ロック機能</t>
  </si>
  <si>
    <t>子どもTB / ロック画面</t>
  </si>
  <si>
    <t>通常はタブレットの操作をロックしておき、先生の口頭指示で解除する機能(子どもが勝手に触らないように)。</t>
  </si>
  <si>
    <t>子どもに触らないよう指導</t>
  </si>
  <si>
    <t>F-01</t>
  </si>
  <si>
    <t>観察・記録</t>
  </si>
  <si>
    <t>リアルタイム観察</t>
  </si>
  <si>
    <t>リアルタイム観察メモ(5段階アイコン)</t>
  </si>
  <si>
    <t>先生SP / レッスン進行画面(観察メモ欄)</t>
  </si>
  <si>
    <t>レッスン中に、コンテンツごと・生徒ごとに5段階のアイコン(すごく楽しそう/ちょっと嬉しい/普通/ちょっと消極的/すごく嫌そう)で記録できる機能。レッスン中は軽くつけるだけ、終了後に振り返りで詳細追加。</t>
  </si>
  <si>
    <t>先生の手書きメモ</t>
  </si>
  <si>
    <t>[開発側暫定優先度] 🔴 必須</t>
  </si>
  <si>
    <t>F-02</t>
  </si>
  <si>
    <t>振り返り入力</t>
  </si>
  <si>
    <t>詳細振り返り入力</t>
  </si>
  <si>
    <t>先生SP / レッスン後画面(振り返り入力)</t>
  </si>
  <si>
    <t>レッスン後に、生徒ごとの詳細な記録(±5、テキストコメント)を入力できる機能。</t>
  </si>
  <si>
    <t>F-03</t>
  </si>
  <si>
    <t>生徒情報入力枠</t>
  </si>
  <si>
    <t>優秀な先生が個別に書いている生徒メモを標準フォーマット化して、誰でも書けるようにする機能。今フェーズは枠だけ用意し、内容は段階的に拡張。音声入力はPhase 2以降。</t>
  </si>
  <si>
    <t>手書き記録の継続</t>
  </si>
  <si>
    <t>[開発側暫定優先度] 🔴 必須
現状はボイスレコーダーに記録している</t>
  </si>
  <si>
    <t>G-01</t>
  </si>
  <si>
    <t>データ送信</t>
  </si>
  <si>
    <t>一括データ送信</t>
  </si>
  <si>
    <t>レッスン終了ボタンを押すと、その日の観察メモなどのデータをまとめてサーバーに送信する機能。</t>
  </si>
  <si>
    <t>G-02</t>
  </si>
  <si>
    <t>冪等性制御</t>
  </si>
  <si>
    <t>同じデータが二重で送信されないように防ぐ仕組み(送信に固有のIDを付けて重複を判定)。</t>
  </si>
  <si>
    <t>重複データの手動削除</t>
  </si>
  <si>
    <t>G-03</t>
  </si>
  <si>
    <t>リトライ+未送信復旧</t>
  </si>
  <si>
    <t>データ送信が失敗しても自動で再試行し、ブラウザを閉じてしまっても次回に未送信データを復旧できる機能。</t>
  </si>
  <si>
    <t>手動で再送信</t>
  </si>
  <si>
    <t>[開発側暫定優先度] 🔴 必須
送信フラグを内部に持つ</t>
  </si>
  <si>
    <t>G-04</t>
  </si>
  <si>
    <t>成果記録</t>
  </si>
  <si>
    <t>正答時間取得</t>
  </si>
  <si>
    <t>子どもTB / (バックグラウンド)</t>
  </si>
  <si>
    <t>問題系ゲームで、生徒が回答するまでにかかった時間を自動記録する機能。</t>
  </si>
  <si>
    <t>先生の手動記録(初期運用)</t>
  </si>
  <si>
    <t>G-05</t>
  </si>
  <si>
    <t>正誤判定データ取得</t>
  </si>
  <si>
    <t>正解/不正解を自動記録する機能。将来の保護者観察アプリ・分析基盤の元データ。</t>
  </si>
  <si>
    <t>先生の手動記録</t>
  </si>
  <si>
    <t>X-01</t>
  </si>
  <si>
    <t>連携・拡張</t>
  </si>
  <si>
    <t>データ分析・可視化</t>
  </si>
  <si>
    <t>保護者観察アプリでのデータ分析機能</t>
  </si>
  <si>
    <t>保護者観察アプリ / 分析・可視化画面</t>
  </si>
  <si>
    <t>ハイブリッドレッスンで集めたデータ(観察メモ・正答率・発達状況)を、保護者向けの観察アプリ(Kulabo相当の位置付け)で分析・可視化する機能。具体的な可視化手段(レーダーチャート等)は未確定、要検討。</t>
  </si>
  <si>
    <t>Phase 2以降</t>
  </si>
  <si>
    <t>数値一覧で表示、または分析なし</t>
  </si>
  <si>
    <t>X-02</t>
  </si>
  <si>
    <t>海外展開</t>
  </si>
  <si>
    <t>英語版対応</t>
  </si>
  <si>
    <t>全画面 / 多言語対応</t>
  </si>
  <si>
    <t>画面の文字を英語化、コンテンツも英語版を用意して、ロンドン・ベトナムなど海外の教室でも使えるようにする対応。海外案件確定後は最低1か月の対応期間が必要。</t>
  </si>
  <si>
    <t>🟢 CAN(条件付き)</t>
  </si>
  <si>
    <t>海外案件確定後</t>
  </si>
  <si>
    <t>条件付き</t>
  </si>
  <si>
    <t>日本語版のまま提供</t>
  </si>
  <si>
    <t>X-03</t>
  </si>
  <si>
    <t>データ暗号化配信</t>
  </si>
  <si>
    <t>コンテンツが海外に渡る時に漏洩しないよう、暗号化して配信し、受信側で復号する仕組み。</t>
  </si>
  <si>
    <t>海外展開時</t>
  </si>
  <si>
    <t>VPN接続で配信、または国内限定提供</t>
  </si>
  <si>
    <t>X-04</t>
  </si>
  <si>
    <t>個別最適化エンジン</t>
  </si>
  <si>
    <t>難度自動調整エンジン</t>
  </si>
  <si>
    <t>(バックエンド/分析エンジン)</t>
  </si>
  <si>
    <t>育脳ゲーム・復習ゲームで、生徒の回答時間と正誤データから発達段階を判定し、生徒ごとに難度を自動調整する仕組み。ワークフロー文書では「個別最適化エンジン」として登場。</t>
  </si>
  <si>
    <t>全員同じ難度で実施(現状運用)</t>
  </si>
  <si>
    <t>X-05</t>
  </si>
  <si>
    <t>個別支援(開始番号変更)</t>
  </si>
  <si>
    <t>本部PC / プログラム作成画面(個別支援設定)</t>
  </si>
  <si>
    <t>各生徒のレベルに応じて「何番目のコンテンツから始めるか」をプログラム単位で個別設定できる機能。ワークフロー文書では「個別支援の核心」と位置付けされている。</t>
  </si>
  <si>
    <t>先生が当日その場で順番調整</t>
  </si>
  <si>
    <t>X-06</t>
  </si>
  <si>
    <t>保護者連携</t>
  </si>
  <si>
    <t>保護者レポート画面生成</t>
  </si>
  <si>
    <t>保護者観察アプリ / レポート画面</t>
  </si>
  <si>
    <t>レッスン結果(回答データ・観察メモ)から、子ども別の保護者向けレポート画面を自動生成する機能。</t>
  </si>
  <si>
    <t>先生が手書き/口頭でフィードバック</t>
  </si>
  <si>
    <t>X-07</t>
  </si>
  <si>
    <t>アドバイス自動生成・編集</t>
  </si>
  <si>
    <t>先生SP / レッスン後画面(アドバイス編集)</t>
  </si>
  <si>
    <t>観察メモと結果から、保護者向けアドバイス文を自動生成し、先生が必要に応じて編集してから送信する機能。</t>
  </si>
  <si>
    <t>先生が一から手書き</t>
  </si>
  <si>
    <t>X-08</t>
  </si>
  <si>
    <t>保護者通知配信(アプリ/LINE/メール)</t>
  </si>
  <si>
    <t>(バックエンド/通知基盤)</t>
  </si>
  <si>
    <t>生成されたレポートとアドバイスを、Kulaboアプリ・LINE・メールのいずれかで保護者に届ける機能。</t>
  </si>
  <si>
    <t>口頭・紙でフィードバック</t>
  </si>
  <si>
    <t>X-09</t>
  </si>
  <si>
    <t>家庭観察データ入力</t>
  </si>
  <si>
    <t>保護者観察アプリ / 家庭観察画面</t>
  </si>
  <si>
    <t>保護者から家庭での子どもの様子・観察を入力してもらう仕組み。教室データと合わせて分析に活用。</t>
  </si>
  <si>
    <t>口頭ヒアリング</t>
  </si>
  <si>
    <t>X-10</t>
  </si>
  <si>
    <t>カテゴリ別発達分析</t>
  </si>
  <si>
    <t>保護者観察アプリ / 分析画面</t>
  </si>
  <si>
    <t>文字/数/知識/人間学などのカテゴリごとに、生徒の得意・苦手・発達状況を分析する機能。</t>
  </si>
  <si>
    <t>先生の感覚で判断</t>
  </si>
  <si>
    <t>X-11</t>
  </si>
  <si>
    <t>成長推移グラフ</t>
  </si>
  <si>
    <t>過去のレッスンを通じた生徒の成長を時系列のグラフで可視化する機能。保護者レポートにも掲載。</t>
  </si>
  <si>
    <t>数値一覧で確認</t>
  </si>
  <si>
    <t>X-12</t>
  </si>
  <si>
    <t>プログラム最適化</t>
  </si>
  <si>
    <t>サーバーデータと本部プログラム自動照合</t>
  </si>
  <si>
    <t>本部PC / プログラム調整画面(仮称)</t>
  </si>
  <si>
    <t>教室から集まったデータ(子どもの躓き・得意の傾向)をもとに、本部プログラムを自動で調整・提案する機能。ワークフロー文書では「データサイクル」として記載。</t>
  </si>
  <si>
    <t>本部管理者が手動で分析・調整</t>
  </si>
  <si>
    <t>X-13</t>
  </si>
  <si>
    <t>教室UX</t>
  </si>
  <si>
    <t>名前入りタブレット個別配布運用</t>
  </si>
  <si>
    <t>子どもTB / 待機画面(X-13拡張)</t>
  </si>
  <si>
    <t>タブレットを子ども個別に紐づけ、次回以降も同じタブレットを使う運用とする。個別の挨拶メッセージや前回の続きから再開する機能など、UX的な拡張を含む。(基本の名前表示はTB-01で実装)</t>
  </si>
  <si>
    <t>毎回汎用タブレットを配布</t>
  </si>
  <si>
    <t>X-15</t>
  </si>
  <si>
    <t>外部システム連携</t>
  </si>
  <si>
    <t>収集データの他システム連携・活用</t>
  </si>
  <si>
    <t>(バックエンド/連携基盤)</t>
  </si>
  <si>
    <t>教室で集めた観察データ・成果データを、保護者観察アプリ・本部分析基盤・営業システム等の他システムに連携し活用する仕組み。連携先とデータ粒度・API仕様は要検討。</t>
  </si>
  <si>
    <t>手動エクスポート・共有</t>
  </si>
  <si>
    <t>ハイブリッドレッスン 機能要件マトリクス v4 - クライアント確認用</t>
  </si>
  <si>
    <t>【記入のお願い】</t>
  </si>
  <si>
    <t>クライアント側で「客優先度」「クライアントコメント」の2列にご記入ください</t>
  </si>
  <si>
    <t>開発側からの返信は「返信・補足」列に記入します</t>
  </si>
  <si>
    <t>双方合意済みの項目は「合意」列に ✅ を付けます</t>
  </si>
  <si>
    <t>【列の説明(全15列)】</t>
  </si>
  <si>
    <t>機能ID(英字+番号)</t>
  </si>
  <si>
    <t>大項目 / 中項目 / 機能名</t>
  </si>
  <si>
    <t>機能の分類と名称</t>
  </si>
  <si>
    <t>どの画面・デバイスに対応する機能か(例:先生SP / レッスン進行画面)</t>
  </si>
  <si>
    <t>機能の内容を専門用語を避けて説明</t>
  </si>
  <si>
    <t>いつ要件として認識されたか(v1初版=元から / 2026-04-22=HL定例で追加 / 2026-04-24=ワークフロー再点検で追加)</t>
  </si>
  <si>
    <t>🔴 MUST=必須 / 🟡 SHOULD=推奨 / 🟢 CAN=可能なら</t>
  </si>
  <si>
    <t>7月=カナ先生入力開始 / 9月=レッスン開始 / 10月〜=運用中 / Phase 2以降=次期</t>
  </si>
  <si>
    <t>7月リリース / 9月リリース / 運用中追加 / Phase 2以降 / 条件付き / 実装済</t>
  </si>
  <si>
    <t>未実装の場合に運用でカバーする方法</t>
  </si>
  <si>
    <t>優先度 (記入欄)</t>
  </si>
  <si>
    <t>🔴 必須 / 🟡 希望 / 🟢 不要</t>
  </si>
  <si>
    <t>先生コメント (記入欄)</t>
  </si>
  <si>
    <t>要望・補足・疑問点を自由記述</t>
  </si>
  <si>
    <t>返信・補足 (開発側)</t>
  </si>
  <si>
    <t>先生コメントへの返答・追加情報</t>
  </si>
  <si>
    <t>双方で合意済みの項目に ✅</t>
  </si>
  <si>
    <t>【デバイス略号】</t>
  </si>
  <si>
    <t>先生SP</t>
  </si>
  <si>
    <t>先生の操作用スマホ/タブレット(コントローラー)</t>
  </si>
  <si>
    <t>本部PC</t>
  </si>
  <si>
    <t>本部管理者用のPC管理画面</t>
  </si>
  <si>
    <t>TV</t>
  </si>
  <si>
    <t>教室の大型ディスプレイ</t>
  </si>
  <si>
    <t>子どもTB</t>
  </si>
  <si>
    <t>生徒一人ひとりの子ども用タブレット(最大10台)</t>
  </si>
  <si>
    <t>全デバイスで共通の機能(主にバックグラウンド処理)</t>
  </si>
  <si>
    <t>保護者観察アプリ</t>
  </si>
  <si>
    <t>保護者向けの観察アプリ(Kulabo相当の位置付け、Phase 2以降)</t>
  </si>
  <si>
    <t>(共通基盤)</t>
  </si>
  <si>
    <t>バックエンド・DB・API等、画面に対応しないインフラ機能</t>
  </si>
  <si>
    <t>【大項目別の色】</t>
  </si>
  <si>
    <t>ライトブルー</t>
  </si>
  <si>
    <t>イエロー</t>
  </si>
  <si>
    <t>グリーン</t>
  </si>
  <si>
    <t>オレンジ</t>
  </si>
  <si>
    <t>グレー</t>
  </si>
  <si>
    <t>パープル</t>
  </si>
  <si>
    <t>【件数サマリ】</t>
  </si>
  <si>
    <t>総機能数</t>
  </si>
  <si>
    <t>MUST件数</t>
  </si>
  <si>
    <t>SHOULD件数</t>
  </si>
  <si>
    <t>CAN件数</t>
  </si>
  <si>
    <t>【フェーズ別件数】</t>
  </si>
  <si>
    <t>7月リリース</t>
  </si>
  <si>
    <t>9月リリース</t>
  </si>
  <si>
    <t>運用中追加</t>
  </si>
  <si>
    <t>【追加日別件数】</t>
  </si>
  <si>
    <t>v1初版(元から)</t>
  </si>
  <si>
    <t>2026-04-22(HL定例)</t>
  </si>
  <si>
    <t>2026-04-24(ワークフロー再点検)</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</si>
</sst>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mm-dd"/>
    <numFmt numFmtId="166" formatCode="yyyy-mm-dd h:mm:ss"/>
  </numFmts>
  <fonts count="14">
    <font>
      <sz val="11.0"/>
      <color theme="1"/>
      <name val="Calibri"/>
      <scheme val="minor"/>
    </font>
    <font>
      <b/>
      <sz val="11.0"/>
      <color rgb="FFFFFFFF"/>
      <name val="Arial"/>
    </font>
    <font>
      <b/>
      <sz val="11.0"/>
      <color rgb="FFFFFFFF"/>
      <name val="Verdana"/>
    </font>
    <font>
      <b/>
      <sz val="11.0"/>
      <color rgb="FFFFFFFF"/>
      <name val="ＭＳ ゴシック"/>
    </font>
    <font>
      <sz val="11.0"/>
      <color theme="1"/>
      <name val="Calibri"/>
    </font>
    <font>
      <sz val="11.0"/>
      <color theme="1"/>
      <name val="Yu Gothic"/>
    </font>
    <font>
      <sz val="11.0"/>
      <color theme="1"/>
      <name val="Verdana"/>
    </font>
    <font>
      <i/>
      <sz val="10.0"/>
      <color rgb="FF404040"/>
      <name val="Yu Gothic"/>
    </font>
    <font>
      <sz val="11.0"/>
      <color theme="1"/>
      <name val="Arial"/>
    </font>
    <font>
      <i/>
      <sz val="10.0"/>
      <color rgb="FF404040"/>
      <name val="Verdana"/>
    </font>
    <font>
      <b/>
      <sz val="11.0"/>
      <color rgb="FFC00000"/>
      <name val="Yu Gothic"/>
    </font>
    <font>
      <b/>
      <sz val="11.0"/>
      <color rgb="FFC00000"/>
      <name val="Arial"/>
    </font>
    <font>
      <color theme="1"/>
      <name val="Calibri"/>
    </font>
    <font>
      <b/>
      <sz val="14.0"/>
      <color theme="1"/>
      <name val="Verdana"/>
    </font>
  </fonts>
  <fills count="14">
    <fill>
      <patternFill patternType="none"/>
    </fill>
    <fill>
      <patternFill patternType="lightGray"/>
    </fill>
    <fill>
      <patternFill patternType="solid">
        <fgColor rgb="FF1F4E78"/>
        <bgColor rgb="FF1F4E78"/>
      </patternFill>
    </fill>
    <fill>
      <patternFill patternType="solid">
        <fgColor rgb="FFC65911"/>
        <bgColor rgb="FFC65911"/>
      </patternFill>
    </fill>
    <fill>
      <patternFill patternType="solid">
        <fgColor rgb="FF7030A0"/>
        <bgColor rgb="FF7030A0"/>
      </patternFill>
    </fill>
    <fill>
      <patternFill patternType="solid">
        <fgColor rgb="FF548235"/>
        <bgColor rgb="FF548235"/>
      </patternFill>
    </fill>
    <fill>
      <patternFill patternType="solid">
        <fgColor rgb="FFEAF3FB"/>
        <bgColor rgb="FFEAF3FB"/>
      </patternFill>
    </fill>
    <fill>
      <patternFill patternType="solid">
        <fgColor rgb="FFFBE5D6"/>
        <bgColor rgb="FFFBE5D6"/>
      </patternFill>
    </fill>
    <fill>
      <patternFill patternType="solid">
        <fgColor rgb="FFE4D5F0"/>
        <bgColor rgb="FFE4D5F0"/>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EDEDED"/>
        <bgColor rgb="FFEDEDED"/>
      </patternFill>
    </fill>
    <fill>
      <patternFill patternType="solid">
        <fgColor rgb="FFF4E1F4"/>
        <bgColor rgb="FFF4E1F4"/>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shrinkToFit="0" vertical="center" wrapText="1"/>
    </xf>
    <xf borderId="1" fillId="3" fontId="3"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center" shrinkToFit="0" vertical="center" wrapText="1"/>
    </xf>
    <xf borderId="0" fillId="0" fontId="4" numFmtId="0" xfId="0" applyAlignment="1" applyFont="1">
      <alignment shrinkToFit="0" wrapText="1"/>
    </xf>
    <xf borderId="1" fillId="6" fontId="5" numFmtId="0" xfId="0" applyAlignment="1" applyBorder="1" applyFill="1" applyFont="1">
      <alignment shrinkToFit="0" vertical="top" wrapText="1"/>
    </xf>
    <xf borderId="1" fillId="6" fontId="6" numFmtId="0" xfId="0" applyAlignment="1" applyBorder="1" applyFont="1">
      <alignment shrinkToFit="0" vertical="top" wrapText="1"/>
    </xf>
    <xf borderId="1" fillId="6" fontId="7" numFmtId="0" xfId="0" applyAlignment="1" applyBorder="1" applyFont="1">
      <alignment shrinkToFit="0" vertical="top" wrapText="1"/>
    </xf>
    <xf borderId="1" fillId="6" fontId="8" numFmtId="0" xfId="0" applyAlignment="1" applyBorder="1" applyFont="1">
      <alignment horizontal="left" shrinkToFit="0" vertical="top" wrapText="1"/>
    </xf>
    <xf borderId="1" fillId="6" fontId="6" numFmtId="164" xfId="0" applyAlignment="1" applyBorder="1" applyFont="1" applyNumberFormat="1">
      <alignment shrinkToFit="0" vertical="top" wrapText="1"/>
    </xf>
    <xf borderId="1" fillId="7" fontId="5" numFmtId="0" xfId="0" applyAlignment="1" applyBorder="1" applyFill="1" applyFont="1">
      <alignment shrinkToFit="0" vertical="top" wrapText="1"/>
    </xf>
    <xf borderId="1" fillId="8" fontId="5" numFmtId="0" xfId="0" applyAlignment="1" applyBorder="1" applyFill="1" applyFont="1">
      <alignment shrinkToFit="0" vertical="top" wrapText="1"/>
    </xf>
    <xf borderId="1" fillId="9" fontId="5" numFmtId="0" xfId="0" applyAlignment="1" applyBorder="1" applyFill="1" applyFont="1">
      <alignment shrinkToFit="0" vertical="top" wrapText="1"/>
    </xf>
    <xf borderId="1" fillId="6" fontId="5" numFmtId="0" xfId="0" applyAlignment="1" applyBorder="1" applyFont="1">
      <alignment horizontal="left" shrinkToFit="0" vertical="top" wrapText="1"/>
    </xf>
    <xf borderId="1" fillId="6" fontId="9" numFmtId="0" xfId="0" applyAlignment="1" applyBorder="1" applyFont="1">
      <alignment shrinkToFit="0" vertical="top" wrapText="1"/>
    </xf>
    <xf borderId="1" fillId="6" fontId="8" numFmtId="0" xfId="0" applyAlignment="1" applyBorder="1" applyFont="1">
      <alignment shrinkToFit="0" vertical="top" wrapText="1"/>
    </xf>
    <xf borderId="1" fillId="6" fontId="5" numFmtId="164" xfId="0" applyAlignment="1" applyBorder="1" applyFont="1" applyNumberFormat="1">
      <alignment shrinkToFit="0" vertical="top" wrapText="1"/>
    </xf>
    <xf borderId="1" fillId="8" fontId="8" numFmtId="0" xfId="0" applyAlignment="1" applyBorder="1" applyFont="1">
      <alignment shrinkToFit="0" vertical="top" wrapText="1"/>
    </xf>
    <xf borderId="1" fillId="10" fontId="5" numFmtId="0" xfId="0" applyAlignment="1" applyBorder="1" applyFill="1" applyFont="1">
      <alignment shrinkToFit="0" vertical="top" wrapText="1"/>
    </xf>
    <xf borderId="1" fillId="10" fontId="6" numFmtId="0" xfId="0" applyAlignment="1" applyBorder="1" applyFont="1">
      <alignment shrinkToFit="0" vertical="top" wrapText="1"/>
    </xf>
    <xf borderId="1" fillId="10" fontId="9" numFmtId="0" xfId="0" applyAlignment="1" applyBorder="1" applyFont="1">
      <alignment shrinkToFit="0" vertical="top" wrapText="1"/>
    </xf>
    <xf borderId="1" fillId="10" fontId="5" numFmtId="0" xfId="0" applyAlignment="1" applyBorder="1" applyFont="1">
      <alignment horizontal="left" shrinkToFit="0" vertical="top" wrapText="1"/>
    </xf>
    <xf borderId="1" fillId="10" fontId="6" numFmtId="164" xfId="0" applyAlignment="1" applyBorder="1" applyFont="1" applyNumberFormat="1">
      <alignment shrinkToFit="0" vertical="top" wrapText="1"/>
    </xf>
    <xf borderId="1" fillId="10" fontId="8" numFmtId="0" xfId="0" applyAlignment="1" applyBorder="1" applyFont="1">
      <alignment shrinkToFit="0" vertical="top" wrapText="1"/>
    </xf>
    <xf borderId="1" fillId="10" fontId="5" numFmtId="164" xfId="0" applyAlignment="1" applyBorder="1" applyFont="1" applyNumberFormat="1">
      <alignment shrinkToFit="0" vertical="top" wrapText="1"/>
    </xf>
    <xf borderId="1" fillId="10" fontId="7" numFmtId="0" xfId="0" applyAlignment="1" applyBorder="1" applyFont="1">
      <alignment shrinkToFit="0" vertical="top" wrapText="1"/>
    </xf>
    <xf borderId="1" fillId="9" fontId="6" numFmtId="0" xfId="0" applyAlignment="1" applyBorder="1" applyFont="1">
      <alignment shrinkToFit="0" vertical="top" wrapText="1"/>
    </xf>
    <xf borderId="1" fillId="9" fontId="9" numFmtId="0" xfId="0" applyAlignment="1" applyBorder="1" applyFont="1">
      <alignment shrinkToFit="0" vertical="top" wrapText="1"/>
    </xf>
    <xf borderId="1" fillId="9" fontId="10" numFmtId="0" xfId="0" applyAlignment="1" applyBorder="1" applyFont="1">
      <alignment horizontal="left" shrinkToFit="0" vertical="top" wrapText="1"/>
    </xf>
    <xf borderId="1" fillId="9" fontId="6" numFmtId="164" xfId="0" applyAlignment="1" applyBorder="1" applyFont="1" applyNumberFormat="1">
      <alignment shrinkToFit="0" vertical="top" wrapText="1"/>
    </xf>
    <xf borderId="1" fillId="9" fontId="8" numFmtId="0" xfId="0" applyAlignment="1" applyBorder="1" applyFont="1">
      <alignment shrinkToFit="0" vertical="top" wrapText="1"/>
    </xf>
    <xf borderId="1" fillId="9" fontId="11" numFmtId="165" xfId="0" applyAlignment="1" applyBorder="1" applyFont="1" applyNumberFormat="1">
      <alignment horizontal="left" shrinkToFit="0" vertical="top" wrapText="1"/>
    </xf>
    <xf borderId="1" fillId="9" fontId="5" numFmtId="0" xfId="0" applyAlignment="1" applyBorder="1" applyFont="1">
      <alignment horizontal="left" shrinkToFit="0" vertical="top" wrapText="1"/>
    </xf>
    <xf borderId="1" fillId="9" fontId="5" numFmtId="164" xfId="0" applyAlignment="1" applyBorder="1" applyFont="1" applyNumberFormat="1">
      <alignment shrinkToFit="0" vertical="top" wrapText="1"/>
    </xf>
    <xf borderId="1" fillId="9" fontId="5" numFmtId="166" xfId="0" applyAlignment="1" applyBorder="1" applyFont="1" applyNumberFormat="1">
      <alignment horizontal="left" shrinkToFit="0" vertical="top" wrapText="1"/>
    </xf>
    <xf borderId="1" fillId="11" fontId="5" numFmtId="0" xfId="0" applyAlignment="1" applyBorder="1" applyFill="1" applyFont="1">
      <alignment shrinkToFit="0" vertical="top" wrapText="1"/>
    </xf>
    <xf borderId="1" fillId="11" fontId="6" numFmtId="0" xfId="0" applyAlignment="1" applyBorder="1" applyFont="1">
      <alignment shrinkToFit="0" vertical="top" wrapText="1"/>
    </xf>
    <xf borderId="1" fillId="11" fontId="7" numFmtId="0" xfId="0" applyAlignment="1" applyBorder="1" applyFont="1">
      <alignment shrinkToFit="0" vertical="top" wrapText="1"/>
    </xf>
    <xf borderId="1" fillId="11" fontId="5" numFmtId="0" xfId="0" applyAlignment="1" applyBorder="1" applyFont="1">
      <alignment horizontal="left" shrinkToFit="0" vertical="top" wrapText="1"/>
    </xf>
    <xf borderId="1" fillId="11" fontId="6" numFmtId="164" xfId="0" applyAlignment="1" applyBorder="1" applyFont="1" applyNumberFormat="1">
      <alignment shrinkToFit="0" vertical="top" wrapText="1"/>
    </xf>
    <xf borderId="1" fillId="11" fontId="9" numFmtId="0" xfId="0" applyAlignment="1" applyBorder="1" applyFont="1">
      <alignment shrinkToFit="0" vertical="top" wrapText="1"/>
    </xf>
    <xf borderId="1" fillId="11" fontId="8" numFmtId="0" xfId="0" applyAlignment="1" applyBorder="1" applyFont="1">
      <alignment shrinkToFit="0" vertical="top" wrapText="1"/>
    </xf>
    <xf borderId="1" fillId="11" fontId="10" numFmtId="0" xfId="0" applyAlignment="1" applyBorder="1" applyFont="1">
      <alignment horizontal="left" shrinkToFit="0" vertical="top" wrapText="1"/>
    </xf>
    <xf borderId="1" fillId="11" fontId="5" numFmtId="164" xfId="0" applyAlignment="1" applyBorder="1" applyFont="1" applyNumberFormat="1">
      <alignment shrinkToFit="0" vertical="top" wrapText="1"/>
    </xf>
    <xf borderId="1" fillId="12" fontId="5" numFmtId="0" xfId="0" applyAlignment="1" applyBorder="1" applyFill="1" applyFont="1">
      <alignment shrinkToFit="0" vertical="top" wrapText="1"/>
    </xf>
    <xf borderId="1" fillId="12" fontId="6" numFmtId="0" xfId="0" applyAlignment="1" applyBorder="1" applyFont="1">
      <alignment shrinkToFit="0" vertical="top" wrapText="1"/>
    </xf>
    <xf borderId="1" fillId="12" fontId="9" numFmtId="0" xfId="0" applyAlignment="1" applyBorder="1" applyFont="1">
      <alignment shrinkToFit="0" vertical="top" wrapText="1"/>
    </xf>
    <xf borderId="1" fillId="12" fontId="5" numFmtId="0" xfId="0" applyAlignment="1" applyBorder="1" applyFont="1">
      <alignment horizontal="left" shrinkToFit="0" vertical="top" wrapText="1"/>
    </xf>
    <xf borderId="1" fillId="12" fontId="6" numFmtId="164" xfId="0" applyAlignment="1" applyBorder="1" applyFont="1" applyNumberFormat="1">
      <alignment shrinkToFit="0" vertical="top" wrapText="1"/>
    </xf>
    <xf borderId="1" fillId="7" fontId="8" numFmtId="0" xfId="0" applyAlignment="1" applyBorder="1" applyFont="1">
      <alignment shrinkToFit="0" vertical="top" wrapText="1"/>
    </xf>
    <xf borderId="1" fillId="12" fontId="7" numFmtId="0" xfId="0" applyAlignment="1" applyBorder="1" applyFont="1">
      <alignment shrinkToFit="0" vertical="top" wrapText="1"/>
    </xf>
    <xf borderId="1" fillId="13" fontId="5" numFmtId="0" xfId="0" applyAlignment="1" applyBorder="1" applyFill="1" applyFont="1">
      <alignment shrinkToFit="0" vertical="top" wrapText="1"/>
    </xf>
    <xf borderId="1" fillId="13" fontId="6" numFmtId="0" xfId="0" applyAlignment="1" applyBorder="1" applyFont="1">
      <alignment shrinkToFit="0" vertical="top" wrapText="1"/>
    </xf>
    <xf borderId="1" fillId="13" fontId="9" numFmtId="0" xfId="0" applyAlignment="1" applyBorder="1" applyFont="1">
      <alignment shrinkToFit="0" vertical="top" wrapText="1"/>
    </xf>
    <xf borderId="1" fillId="13" fontId="5" numFmtId="0" xfId="0" applyAlignment="1" applyBorder="1" applyFont="1">
      <alignment horizontal="left" shrinkToFit="0" vertical="top" wrapText="1"/>
    </xf>
    <xf borderId="1" fillId="13" fontId="6" numFmtId="164" xfId="0" applyAlignment="1" applyBorder="1" applyFont="1" applyNumberFormat="1">
      <alignment shrinkToFit="0" vertical="top" wrapText="1"/>
    </xf>
    <xf borderId="1" fillId="13" fontId="10" numFmtId="0" xfId="0" applyAlignment="1" applyBorder="1" applyFont="1">
      <alignment horizontal="left" shrinkToFit="0" vertical="top" wrapText="1"/>
    </xf>
    <xf borderId="1" fillId="13" fontId="7" numFmtId="0" xfId="0" applyAlignment="1" applyBorder="1" applyFont="1">
      <alignment shrinkToFit="0" vertical="top" wrapText="1"/>
    </xf>
    <xf borderId="1" fillId="13" fontId="5" numFmtId="164" xfId="0" applyAlignment="1" applyBorder="1" applyFont="1" applyNumberFormat="1">
      <alignment shrinkToFit="0" vertical="top" wrapText="1"/>
    </xf>
    <xf borderId="0" fillId="0" fontId="12" numFmtId="0" xfId="0" applyAlignment="1" applyFont="1">
      <alignment horizontal="left" shrinkToFit="0" wrapText="1"/>
    </xf>
    <xf borderId="0" fillId="0" fontId="13" numFmtId="0" xfId="0" applyAlignment="1" applyFont="1">
      <alignment shrinkToFit="0" vertical="top" wrapText="1"/>
    </xf>
    <xf borderId="0" fillId="0" fontId="5" numFmtId="0" xfId="0" applyAlignment="1" applyFont="1">
      <alignment shrinkToFit="0" vertical="top" wrapText="1"/>
    </xf>
    <xf borderId="0" fillId="0" fontId="4" numFmtId="0" xfId="0" applyFont="1"/>
    <xf borderId="0" fillId="0" fontId="6" numFmtId="0" xfId="0" applyAlignment="1" applyFont="1">
      <alignment shrinkToFit="0" vertical="top" wrapText="1"/>
    </xf>
    <xf borderId="0" fillId="0" fontId="8"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8.0"/>
    <col customWidth="1" min="2" max="2" width="12.0"/>
    <col customWidth="1" min="3" max="3" width="15.57"/>
    <col customWidth="1" min="4" max="4" width="22.86"/>
    <col customWidth="1" min="5" max="5" width="15.0"/>
    <col customWidth="1" min="6" max="6" width="46.0"/>
    <col customWidth="1" min="7" max="7" width="16.43"/>
    <col customWidth="1" min="8" max="8" width="14.0"/>
    <col customWidth="1" min="9" max="9" width="8.29"/>
    <col customWidth="1" min="10" max="10" width="14.0"/>
    <col customWidth="1" min="11" max="11" width="24.86"/>
    <col customWidth="1" min="12" max="12" width="14.86"/>
    <col customWidth="1" min="13" max="13" width="14.0"/>
    <col customWidth="1" min="14" max="14" width="32.0"/>
    <col customWidth="1" min="15" max="15" width="36.0"/>
    <col customWidth="1" min="16" max="16" width="8.0"/>
  </cols>
  <sheetData>
    <row r="1" ht="30.0" customHeight="1">
      <c r="A1" s="1" t="s">
        <v>0</v>
      </c>
      <c r="B1" s="2" t="s">
        <v>1</v>
      </c>
      <c r="C1" s="2" t="s">
        <v>2</v>
      </c>
      <c r="D1" s="2" t="s">
        <v>3</v>
      </c>
      <c r="E1" s="2" t="s">
        <v>4</v>
      </c>
      <c r="F1" s="2" t="s">
        <v>5</v>
      </c>
      <c r="G1" s="2" t="s">
        <v>6</v>
      </c>
      <c r="H1" s="2" t="s">
        <v>7</v>
      </c>
      <c r="I1" s="2" t="s">
        <v>8</v>
      </c>
      <c r="J1" s="2" t="s">
        <v>9</v>
      </c>
      <c r="K1" s="2" t="s">
        <v>10</v>
      </c>
      <c r="L1" s="2" t="s">
        <v>11</v>
      </c>
      <c r="M1" s="3" t="s">
        <v>12</v>
      </c>
      <c r="N1" s="3" t="s">
        <v>13</v>
      </c>
      <c r="O1" s="4" t="s">
        <v>14</v>
      </c>
      <c r="P1" s="5" t="s">
        <v>15</v>
      </c>
      <c r="Q1" s="6"/>
      <c r="R1" s="6"/>
      <c r="S1" s="6"/>
      <c r="T1" s="6"/>
      <c r="U1" s="6"/>
      <c r="V1" s="6"/>
      <c r="W1" s="6"/>
      <c r="X1" s="6"/>
      <c r="Y1" s="6"/>
      <c r="Z1" s="6"/>
    </row>
    <row r="2">
      <c r="A2" s="7" t="s">
        <v>16</v>
      </c>
      <c r="B2" s="8" t="s">
        <v>17</v>
      </c>
      <c r="C2" s="8" t="s">
        <v>18</v>
      </c>
      <c r="D2" s="7" t="s">
        <v>19</v>
      </c>
      <c r="E2" s="9" t="s">
        <v>20</v>
      </c>
      <c r="F2" s="8" t="s">
        <v>21</v>
      </c>
      <c r="G2" s="10" t="s">
        <v>22</v>
      </c>
      <c r="H2" s="7" t="s">
        <v>23</v>
      </c>
      <c r="I2" s="7" t="s">
        <v>24</v>
      </c>
      <c r="J2" s="8" t="s">
        <v>25</v>
      </c>
      <c r="K2" s="8" t="s">
        <v>26</v>
      </c>
      <c r="L2" s="11">
        <v>46164.0</v>
      </c>
      <c r="M2" s="12"/>
      <c r="N2" s="12"/>
      <c r="O2" s="13"/>
      <c r="P2" s="14"/>
      <c r="Q2" s="6"/>
      <c r="R2" s="6"/>
      <c r="S2" s="6"/>
      <c r="T2" s="6"/>
      <c r="U2" s="6"/>
      <c r="V2" s="6"/>
      <c r="W2" s="6"/>
      <c r="X2" s="6"/>
      <c r="Y2" s="6"/>
      <c r="Z2" s="6"/>
    </row>
    <row r="3">
      <c r="A3" s="7" t="s">
        <v>27</v>
      </c>
      <c r="B3" s="8" t="s">
        <v>17</v>
      </c>
      <c r="C3" s="8" t="s">
        <v>18</v>
      </c>
      <c r="D3" s="7" t="s">
        <v>28</v>
      </c>
      <c r="E3" s="9" t="s">
        <v>20</v>
      </c>
      <c r="F3" s="8" t="s">
        <v>29</v>
      </c>
      <c r="G3" s="15" t="s">
        <v>22</v>
      </c>
      <c r="H3" s="7" t="s">
        <v>23</v>
      </c>
      <c r="I3" s="7" t="s">
        <v>24</v>
      </c>
      <c r="J3" s="8" t="s">
        <v>25</v>
      </c>
      <c r="K3" s="8" t="s">
        <v>26</v>
      </c>
      <c r="L3" s="11">
        <v>46164.0</v>
      </c>
      <c r="M3" s="12"/>
      <c r="N3" s="12"/>
      <c r="O3" s="13"/>
      <c r="P3" s="14"/>
      <c r="Q3" s="6"/>
      <c r="R3" s="6"/>
      <c r="S3" s="6"/>
      <c r="T3" s="6"/>
      <c r="U3" s="6"/>
      <c r="V3" s="6"/>
      <c r="W3" s="6"/>
      <c r="X3" s="6"/>
      <c r="Y3" s="6"/>
      <c r="Z3" s="6"/>
    </row>
    <row r="4">
      <c r="A4" s="7" t="s">
        <v>30</v>
      </c>
      <c r="B4" s="8" t="s">
        <v>17</v>
      </c>
      <c r="C4" s="8" t="s">
        <v>18</v>
      </c>
      <c r="D4" s="8" t="s">
        <v>31</v>
      </c>
      <c r="E4" s="9" t="s">
        <v>20</v>
      </c>
      <c r="F4" s="8" t="s">
        <v>32</v>
      </c>
      <c r="G4" s="15" t="s">
        <v>22</v>
      </c>
      <c r="H4" s="7" t="s">
        <v>23</v>
      </c>
      <c r="I4" s="7" t="s">
        <v>24</v>
      </c>
      <c r="J4" s="8" t="s">
        <v>25</v>
      </c>
      <c r="K4" s="8" t="s">
        <v>26</v>
      </c>
      <c r="L4" s="11">
        <v>46164.0</v>
      </c>
      <c r="M4" s="12"/>
      <c r="N4" s="12"/>
      <c r="O4" s="13"/>
      <c r="P4" s="14"/>
      <c r="Q4" s="6"/>
      <c r="R4" s="6"/>
      <c r="S4" s="6"/>
      <c r="T4" s="6"/>
      <c r="U4" s="6"/>
      <c r="V4" s="6"/>
      <c r="W4" s="6"/>
      <c r="X4" s="6"/>
      <c r="Y4" s="6"/>
      <c r="Z4" s="6"/>
    </row>
    <row r="5">
      <c r="A5" s="7" t="s">
        <v>33</v>
      </c>
      <c r="B5" s="8" t="s">
        <v>17</v>
      </c>
      <c r="C5" s="8" t="s">
        <v>34</v>
      </c>
      <c r="D5" s="8" t="s">
        <v>35</v>
      </c>
      <c r="E5" s="16" t="s">
        <v>36</v>
      </c>
      <c r="F5" s="17" t="s">
        <v>37</v>
      </c>
      <c r="G5" s="15" t="s">
        <v>22</v>
      </c>
      <c r="H5" s="7" t="s">
        <v>23</v>
      </c>
      <c r="I5" s="7" t="s">
        <v>24</v>
      </c>
      <c r="J5" s="8" t="s">
        <v>25</v>
      </c>
      <c r="K5" s="8" t="s">
        <v>26</v>
      </c>
      <c r="L5" s="11">
        <v>46164.0</v>
      </c>
      <c r="M5" s="12"/>
      <c r="N5" s="12"/>
      <c r="O5" s="13"/>
      <c r="P5" s="14"/>
      <c r="Q5" s="6"/>
      <c r="R5" s="6"/>
      <c r="S5" s="6"/>
      <c r="T5" s="6"/>
      <c r="U5" s="6"/>
      <c r="V5" s="6"/>
      <c r="W5" s="6"/>
      <c r="X5" s="6"/>
      <c r="Y5" s="6"/>
      <c r="Z5" s="6"/>
    </row>
    <row r="6">
      <c r="A6" s="7" t="s">
        <v>38</v>
      </c>
      <c r="B6" s="8" t="s">
        <v>17</v>
      </c>
      <c r="C6" s="8" t="s">
        <v>34</v>
      </c>
      <c r="D6" s="7" t="s">
        <v>39</v>
      </c>
      <c r="E6" s="16" t="s">
        <v>40</v>
      </c>
      <c r="F6" s="17" t="s">
        <v>41</v>
      </c>
      <c r="G6" s="15" t="s">
        <v>22</v>
      </c>
      <c r="H6" s="7" t="s">
        <v>23</v>
      </c>
      <c r="I6" s="17" t="s">
        <v>42</v>
      </c>
      <c r="J6" s="7"/>
      <c r="K6" s="8" t="s">
        <v>26</v>
      </c>
      <c r="L6" s="11">
        <v>46164.0</v>
      </c>
      <c r="M6" s="12"/>
      <c r="N6" s="12"/>
      <c r="O6" s="13"/>
      <c r="P6" s="14"/>
      <c r="Q6" s="6"/>
      <c r="R6" s="6"/>
      <c r="S6" s="6"/>
      <c r="T6" s="6"/>
      <c r="U6" s="6"/>
      <c r="V6" s="6"/>
      <c r="W6" s="6"/>
      <c r="X6" s="6"/>
      <c r="Y6" s="6"/>
      <c r="Z6" s="6"/>
    </row>
    <row r="7">
      <c r="A7" s="7" t="s">
        <v>43</v>
      </c>
      <c r="B7" s="8" t="s">
        <v>17</v>
      </c>
      <c r="C7" s="8" t="s">
        <v>34</v>
      </c>
      <c r="D7" s="8" t="s">
        <v>44</v>
      </c>
      <c r="E7" s="16" t="s">
        <v>45</v>
      </c>
      <c r="F7" s="8" t="s">
        <v>46</v>
      </c>
      <c r="G7" s="15" t="s">
        <v>22</v>
      </c>
      <c r="H7" s="7" t="s">
        <v>47</v>
      </c>
      <c r="I7" s="7" t="s">
        <v>48</v>
      </c>
      <c r="J7" s="17"/>
      <c r="K7" s="8" t="s">
        <v>49</v>
      </c>
      <c r="L7" s="11">
        <v>46164.0</v>
      </c>
      <c r="M7" s="12"/>
      <c r="N7" s="12"/>
      <c r="O7" s="13"/>
      <c r="P7" s="14"/>
      <c r="Q7" s="6"/>
      <c r="R7" s="6"/>
      <c r="S7" s="6"/>
      <c r="T7" s="6"/>
      <c r="U7" s="6"/>
      <c r="V7" s="6"/>
      <c r="W7" s="6"/>
      <c r="X7" s="6"/>
      <c r="Y7" s="6"/>
      <c r="Z7" s="6"/>
    </row>
    <row r="8">
      <c r="A8" s="7" t="s">
        <v>50</v>
      </c>
      <c r="B8" s="8" t="s">
        <v>17</v>
      </c>
      <c r="C8" s="8" t="s">
        <v>34</v>
      </c>
      <c r="D8" s="8" t="s">
        <v>51</v>
      </c>
      <c r="E8" s="9" t="s">
        <v>52</v>
      </c>
      <c r="F8" s="8" t="s">
        <v>53</v>
      </c>
      <c r="G8" s="15" t="s">
        <v>22</v>
      </c>
      <c r="H8" s="7" t="s">
        <v>47</v>
      </c>
      <c r="I8" s="7" t="s">
        <v>48</v>
      </c>
      <c r="J8" s="7"/>
      <c r="K8" s="7" t="s">
        <v>54</v>
      </c>
      <c r="L8" s="18">
        <v>46164.0</v>
      </c>
      <c r="M8" s="12"/>
      <c r="N8" s="12"/>
      <c r="O8" s="13"/>
      <c r="P8" s="14"/>
      <c r="Q8" s="6"/>
      <c r="R8" s="6"/>
      <c r="S8" s="6"/>
      <c r="T8" s="6"/>
      <c r="U8" s="6"/>
      <c r="V8" s="6"/>
      <c r="W8" s="6"/>
      <c r="X8" s="6"/>
      <c r="Y8" s="6"/>
      <c r="Z8" s="6"/>
    </row>
    <row r="9">
      <c r="A9" s="7" t="s">
        <v>55</v>
      </c>
      <c r="B9" s="8" t="s">
        <v>17</v>
      </c>
      <c r="C9" s="8" t="s">
        <v>34</v>
      </c>
      <c r="D9" s="8" t="s">
        <v>56</v>
      </c>
      <c r="E9" s="16" t="s">
        <v>57</v>
      </c>
      <c r="F9" s="8" t="s">
        <v>58</v>
      </c>
      <c r="G9" s="15" t="s">
        <v>22</v>
      </c>
      <c r="H9" s="7" t="s">
        <v>47</v>
      </c>
      <c r="I9" s="7" t="s">
        <v>48</v>
      </c>
      <c r="J9" s="7"/>
      <c r="K9" s="8" t="s">
        <v>59</v>
      </c>
      <c r="L9" s="11">
        <v>46164.0</v>
      </c>
      <c r="M9" s="12"/>
      <c r="N9" s="12"/>
      <c r="O9" s="19" t="s">
        <v>60</v>
      </c>
      <c r="P9" s="14"/>
      <c r="Q9" s="6"/>
      <c r="R9" s="6"/>
      <c r="S9" s="6"/>
      <c r="T9" s="6"/>
      <c r="U9" s="6"/>
      <c r="V9" s="6"/>
      <c r="W9" s="6"/>
      <c r="X9" s="6"/>
      <c r="Y9" s="6"/>
      <c r="Z9" s="6"/>
    </row>
    <row r="10">
      <c r="A10" s="20" t="s">
        <v>61</v>
      </c>
      <c r="B10" s="21" t="s">
        <v>62</v>
      </c>
      <c r="C10" s="21" t="s">
        <v>63</v>
      </c>
      <c r="D10" s="21" t="s">
        <v>64</v>
      </c>
      <c r="E10" s="22" t="s">
        <v>65</v>
      </c>
      <c r="F10" s="21" t="s">
        <v>66</v>
      </c>
      <c r="G10" s="23" t="s">
        <v>22</v>
      </c>
      <c r="H10" s="20" t="s">
        <v>23</v>
      </c>
      <c r="I10" s="20" t="s">
        <v>42</v>
      </c>
      <c r="J10" s="20"/>
      <c r="K10" s="21" t="s">
        <v>26</v>
      </c>
      <c r="L10" s="24">
        <v>46164.0</v>
      </c>
      <c r="M10" s="12"/>
      <c r="N10" s="12"/>
      <c r="O10" s="13"/>
      <c r="P10" s="14"/>
      <c r="Q10" s="6"/>
      <c r="R10" s="6"/>
      <c r="S10" s="6"/>
      <c r="T10" s="6"/>
      <c r="U10" s="6"/>
      <c r="V10" s="6"/>
      <c r="W10" s="6"/>
      <c r="X10" s="6"/>
      <c r="Y10" s="6"/>
      <c r="Z10" s="6"/>
    </row>
    <row r="11">
      <c r="A11" s="20" t="s">
        <v>67</v>
      </c>
      <c r="B11" s="21" t="s">
        <v>62</v>
      </c>
      <c r="C11" s="21" t="s">
        <v>63</v>
      </c>
      <c r="D11" s="21" t="s">
        <v>68</v>
      </c>
      <c r="E11" s="22" t="s">
        <v>69</v>
      </c>
      <c r="F11" s="21" t="s">
        <v>70</v>
      </c>
      <c r="G11" s="23" t="s">
        <v>22</v>
      </c>
      <c r="H11" s="20" t="s">
        <v>23</v>
      </c>
      <c r="I11" s="20" t="s">
        <v>42</v>
      </c>
      <c r="J11" s="20"/>
      <c r="K11" s="21" t="s">
        <v>26</v>
      </c>
      <c r="L11" s="24">
        <v>46164.0</v>
      </c>
      <c r="M11" s="12"/>
      <c r="N11" s="12"/>
      <c r="O11" s="19" t="s">
        <v>71</v>
      </c>
      <c r="P11" s="14"/>
      <c r="Q11" s="6"/>
      <c r="R11" s="6"/>
      <c r="S11" s="6"/>
      <c r="T11" s="6"/>
      <c r="U11" s="6"/>
      <c r="V11" s="6"/>
      <c r="W11" s="6"/>
      <c r="X11" s="6"/>
      <c r="Y11" s="6"/>
      <c r="Z11" s="6"/>
    </row>
    <row r="12">
      <c r="A12" s="20" t="s">
        <v>72</v>
      </c>
      <c r="B12" s="21" t="s">
        <v>62</v>
      </c>
      <c r="C12" s="21" t="s">
        <v>73</v>
      </c>
      <c r="D12" s="21" t="s">
        <v>74</v>
      </c>
      <c r="E12" s="22" t="s">
        <v>75</v>
      </c>
      <c r="F12" s="25" t="s">
        <v>76</v>
      </c>
      <c r="G12" s="23" t="s">
        <v>22</v>
      </c>
      <c r="H12" s="20" t="s">
        <v>47</v>
      </c>
      <c r="I12" s="20" t="s">
        <v>42</v>
      </c>
      <c r="J12" s="20"/>
      <c r="K12" s="21" t="s">
        <v>77</v>
      </c>
      <c r="L12" s="24">
        <v>46164.0</v>
      </c>
      <c r="M12" s="12"/>
      <c r="N12" s="12"/>
      <c r="O12" s="13"/>
      <c r="P12" s="14"/>
      <c r="Q12" s="6"/>
      <c r="R12" s="6"/>
      <c r="S12" s="6"/>
      <c r="T12" s="6"/>
      <c r="U12" s="6"/>
      <c r="V12" s="6"/>
      <c r="W12" s="6"/>
      <c r="X12" s="6"/>
      <c r="Y12" s="6"/>
      <c r="Z12" s="6"/>
    </row>
    <row r="13">
      <c r="A13" s="20" t="s">
        <v>78</v>
      </c>
      <c r="B13" s="21" t="s">
        <v>62</v>
      </c>
      <c r="C13" s="21" t="s">
        <v>79</v>
      </c>
      <c r="D13" s="20" t="s">
        <v>80</v>
      </c>
      <c r="E13" s="22" t="s">
        <v>81</v>
      </c>
      <c r="F13" s="21" t="s">
        <v>82</v>
      </c>
      <c r="G13" s="23" t="s">
        <v>22</v>
      </c>
      <c r="H13" s="20" t="s">
        <v>83</v>
      </c>
      <c r="I13" s="20" t="s">
        <v>48</v>
      </c>
      <c r="J13" s="20"/>
      <c r="K13" s="21" t="s">
        <v>84</v>
      </c>
      <c r="L13" s="24">
        <v>46164.0</v>
      </c>
      <c r="M13" s="12"/>
      <c r="N13" s="12"/>
      <c r="O13" s="13" t="s">
        <v>85</v>
      </c>
      <c r="P13" s="14"/>
      <c r="Q13" s="6"/>
      <c r="R13" s="6"/>
      <c r="S13" s="6"/>
      <c r="T13" s="6"/>
      <c r="U13" s="6"/>
      <c r="V13" s="6"/>
      <c r="W13" s="6"/>
      <c r="X13" s="6"/>
      <c r="Y13" s="6"/>
      <c r="Z13" s="6"/>
    </row>
    <row r="14">
      <c r="A14" s="20" t="s">
        <v>86</v>
      </c>
      <c r="B14" s="21" t="s">
        <v>62</v>
      </c>
      <c r="C14" s="21" t="s">
        <v>87</v>
      </c>
      <c r="D14" s="21" t="s">
        <v>88</v>
      </c>
      <c r="E14" s="22" t="s">
        <v>89</v>
      </c>
      <c r="F14" s="21" t="s">
        <v>90</v>
      </c>
      <c r="G14" s="23" t="s">
        <v>22</v>
      </c>
      <c r="H14" s="20" t="s">
        <v>47</v>
      </c>
      <c r="I14" s="20" t="s">
        <v>48</v>
      </c>
      <c r="J14" s="20"/>
      <c r="K14" s="21" t="s">
        <v>91</v>
      </c>
      <c r="L14" s="24">
        <v>46164.0</v>
      </c>
      <c r="M14" s="12"/>
      <c r="N14" s="12"/>
      <c r="O14" s="19"/>
      <c r="P14" s="14"/>
      <c r="Q14" s="6"/>
      <c r="R14" s="6"/>
      <c r="S14" s="6"/>
      <c r="T14" s="6"/>
      <c r="U14" s="6"/>
      <c r="V14" s="6"/>
      <c r="W14" s="6"/>
      <c r="X14" s="6"/>
      <c r="Y14" s="6"/>
      <c r="Z14" s="6"/>
    </row>
    <row r="15">
      <c r="A15" s="20" t="s">
        <v>92</v>
      </c>
      <c r="B15" s="21" t="s">
        <v>62</v>
      </c>
      <c r="C15" s="21" t="s">
        <v>63</v>
      </c>
      <c r="D15" s="21" t="s">
        <v>93</v>
      </c>
      <c r="E15" s="22" t="s">
        <v>94</v>
      </c>
      <c r="F15" s="21" t="s">
        <v>95</v>
      </c>
      <c r="G15" s="23" t="s">
        <v>96</v>
      </c>
      <c r="H15" s="20" t="s">
        <v>23</v>
      </c>
      <c r="I15" s="20" t="s">
        <v>42</v>
      </c>
      <c r="J15" s="20"/>
      <c r="K15" s="21" t="s">
        <v>26</v>
      </c>
      <c r="L15" s="24">
        <v>46164.0</v>
      </c>
      <c r="M15" s="12"/>
      <c r="N15" s="12"/>
      <c r="O15" s="13"/>
      <c r="P15" s="14"/>
      <c r="Q15" s="6"/>
      <c r="R15" s="6"/>
      <c r="S15" s="6"/>
      <c r="T15" s="6"/>
      <c r="U15" s="6"/>
      <c r="V15" s="6"/>
      <c r="W15" s="6"/>
      <c r="X15" s="6"/>
      <c r="Y15" s="6"/>
      <c r="Z15" s="6"/>
    </row>
    <row r="16">
      <c r="A16" s="20" t="s">
        <v>97</v>
      </c>
      <c r="B16" s="21" t="s">
        <v>62</v>
      </c>
      <c r="C16" s="21" t="s">
        <v>63</v>
      </c>
      <c r="D16" s="21" t="s">
        <v>98</v>
      </c>
      <c r="E16" s="22" t="s">
        <v>94</v>
      </c>
      <c r="F16" s="21" t="s">
        <v>99</v>
      </c>
      <c r="G16" s="23" t="s">
        <v>96</v>
      </c>
      <c r="H16" s="20" t="s">
        <v>47</v>
      </c>
      <c r="I16" s="20" t="s">
        <v>48</v>
      </c>
      <c r="J16" s="20"/>
      <c r="K16" s="21" t="s">
        <v>100</v>
      </c>
      <c r="L16" s="24">
        <v>46164.0</v>
      </c>
      <c r="M16" s="12"/>
      <c r="N16" s="12"/>
      <c r="O16" s="19"/>
      <c r="P16" s="14"/>
      <c r="Q16" s="6"/>
      <c r="R16" s="6"/>
      <c r="S16" s="6"/>
      <c r="T16" s="6"/>
      <c r="U16" s="6"/>
      <c r="V16" s="6"/>
      <c r="W16" s="6"/>
      <c r="X16" s="6"/>
      <c r="Y16" s="6"/>
      <c r="Z16" s="6"/>
    </row>
    <row r="17">
      <c r="A17" s="20" t="s">
        <v>101</v>
      </c>
      <c r="B17" s="21" t="s">
        <v>62</v>
      </c>
      <c r="C17" s="21" t="s">
        <v>63</v>
      </c>
      <c r="D17" s="21" t="s">
        <v>102</v>
      </c>
      <c r="E17" s="22" t="s">
        <v>94</v>
      </c>
      <c r="F17" s="21" t="s">
        <v>103</v>
      </c>
      <c r="G17" s="23" t="s">
        <v>96</v>
      </c>
      <c r="H17" s="20" t="s">
        <v>47</v>
      </c>
      <c r="I17" s="20" t="s">
        <v>48</v>
      </c>
      <c r="J17" s="20"/>
      <c r="K17" s="20" t="s">
        <v>104</v>
      </c>
      <c r="L17" s="26">
        <v>46164.0</v>
      </c>
      <c r="M17" s="12"/>
      <c r="N17" s="12"/>
      <c r="O17" s="19" t="s">
        <v>105</v>
      </c>
      <c r="P17" s="14"/>
      <c r="Q17" s="6"/>
      <c r="R17" s="6"/>
      <c r="S17" s="6"/>
      <c r="T17" s="6"/>
      <c r="U17" s="6"/>
      <c r="V17" s="6"/>
      <c r="W17" s="6"/>
      <c r="X17" s="6"/>
      <c r="Y17" s="6"/>
      <c r="Z17" s="6"/>
    </row>
    <row r="18">
      <c r="A18" s="20" t="s">
        <v>106</v>
      </c>
      <c r="B18" s="21" t="s">
        <v>62</v>
      </c>
      <c r="C18" s="21" t="s">
        <v>73</v>
      </c>
      <c r="D18" s="21" t="s">
        <v>107</v>
      </c>
      <c r="E18" s="22" t="s">
        <v>108</v>
      </c>
      <c r="F18" s="21" t="s">
        <v>109</v>
      </c>
      <c r="G18" s="23" t="s">
        <v>96</v>
      </c>
      <c r="H18" s="20" t="s">
        <v>47</v>
      </c>
      <c r="I18" s="20" t="s">
        <v>48</v>
      </c>
      <c r="J18" s="20"/>
      <c r="K18" s="21" t="s">
        <v>110</v>
      </c>
      <c r="L18" s="24">
        <v>46164.0</v>
      </c>
      <c r="M18" s="12"/>
      <c r="N18" s="12"/>
      <c r="O18" s="13" t="s">
        <v>111</v>
      </c>
      <c r="P18" s="14"/>
      <c r="Q18" s="6"/>
      <c r="R18" s="6"/>
      <c r="S18" s="6"/>
      <c r="T18" s="6"/>
      <c r="U18" s="6"/>
      <c r="V18" s="6"/>
      <c r="W18" s="6"/>
      <c r="X18" s="6"/>
      <c r="Y18" s="6"/>
      <c r="Z18" s="6"/>
    </row>
    <row r="19">
      <c r="A19" s="20" t="s">
        <v>112</v>
      </c>
      <c r="B19" s="21" t="s">
        <v>62</v>
      </c>
      <c r="C19" s="21" t="s">
        <v>113</v>
      </c>
      <c r="D19" s="20" t="s">
        <v>114</v>
      </c>
      <c r="E19" s="22" t="s">
        <v>115</v>
      </c>
      <c r="F19" s="20" t="s">
        <v>116</v>
      </c>
      <c r="G19" s="23" t="s">
        <v>22</v>
      </c>
      <c r="H19" s="20" t="s">
        <v>23</v>
      </c>
      <c r="I19" s="20" t="s">
        <v>42</v>
      </c>
      <c r="J19" s="20"/>
      <c r="K19" s="20" t="s">
        <v>117</v>
      </c>
      <c r="L19" s="26">
        <v>46164.0</v>
      </c>
      <c r="M19" s="12"/>
      <c r="N19" s="12"/>
      <c r="O19" s="13"/>
      <c r="P19" s="14"/>
      <c r="Q19" s="6"/>
      <c r="R19" s="6"/>
      <c r="S19" s="6"/>
      <c r="T19" s="6"/>
      <c r="U19" s="6"/>
      <c r="V19" s="6"/>
      <c r="W19" s="6"/>
      <c r="X19" s="6"/>
      <c r="Y19" s="6"/>
      <c r="Z19" s="6"/>
    </row>
    <row r="20">
      <c r="A20" s="20" t="s">
        <v>118</v>
      </c>
      <c r="B20" s="21" t="s">
        <v>62</v>
      </c>
      <c r="C20" s="21" t="s">
        <v>113</v>
      </c>
      <c r="D20" s="21" t="s">
        <v>119</v>
      </c>
      <c r="E20" s="27" t="s">
        <v>120</v>
      </c>
      <c r="F20" s="21" t="s">
        <v>121</v>
      </c>
      <c r="G20" s="23" t="s">
        <v>96</v>
      </c>
      <c r="H20" s="20" t="s">
        <v>23</v>
      </c>
      <c r="I20" s="20" t="s">
        <v>42</v>
      </c>
      <c r="J20" s="20"/>
      <c r="K20" s="21" t="s">
        <v>122</v>
      </c>
      <c r="L20" s="24">
        <v>46164.0</v>
      </c>
      <c r="M20" s="12"/>
      <c r="N20" s="12"/>
      <c r="O20" s="13"/>
      <c r="P20" s="14"/>
      <c r="Q20" s="6"/>
      <c r="R20" s="6"/>
      <c r="S20" s="6"/>
      <c r="T20" s="6"/>
      <c r="U20" s="6"/>
      <c r="V20" s="6"/>
      <c r="W20" s="6"/>
      <c r="X20" s="6"/>
      <c r="Y20" s="6"/>
      <c r="Z20" s="6"/>
    </row>
    <row r="21">
      <c r="A21" s="20" t="s">
        <v>123</v>
      </c>
      <c r="B21" s="21" t="s">
        <v>62</v>
      </c>
      <c r="C21" s="21" t="s">
        <v>113</v>
      </c>
      <c r="D21" s="20" t="s">
        <v>124</v>
      </c>
      <c r="E21" s="22" t="s">
        <v>125</v>
      </c>
      <c r="F21" s="21" t="s">
        <v>126</v>
      </c>
      <c r="G21" s="23" t="s">
        <v>96</v>
      </c>
      <c r="H21" s="20" t="s">
        <v>83</v>
      </c>
      <c r="I21" s="20" t="s">
        <v>48</v>
      </c>
      <c r="J21" s="20"/>
      <c r="K21" s="20" t="s">
        <v>127</v>
      </c>
      <c r="L21" s="26">
        <v>46164.0</v>
      </c>
      <c r="M21" s="12"/>
      <c r="N21" s="12"/>
      <c r="O21" s="13"/>
      <c r="P21" s="14"/>
      <c r="Q21" s="6"/>
      <c r="R21" s="6"/>
      <c r="S21" s="6"/>
      <c r="T21" s="6"/>
      <c r="U21" s="6"/>
      <c r="V21" s="6"/>
      <c r="W21" s="6"/>
      <c r="X21" s="6"/>
      <c r="Y21" s="6"/>
      <c r="Z21" s="6"/>
    </row>
    <row r="22">
      <c r="A22" s="20" t="s">
        <v>128</v>
      </c>
      <c r="B22" s="21" t="s">
        <v>62</v>
      </c>
      <c r="C22" s="21" t="s">
        <v>113</v>
      </c>
      <c r="D22" s="20" t="s">
        <v>129</v>
      </c>
      <c r="E22" s="22" t="s">
        <v>115</v>
      </c>
      <c r="F22" s="21" t="s">
        <v>130</v>
      </c>
      <c r="G22" s="23" t="s">
        <v>96</v>
      </c>
      <c r="H22" s="20" t="s">
        <v>83</v>
      </c>
      <c r="I22" s="20" t="s">
        <v>48</v>
      </c>
      <c r="J22" s="20"/>
      <c r="K22" s="21" t="s">
        <v>131</v>
      </c>
      <c r="L22" s="24">
        <v>46164.0</v>
      </c>
      <c r="M22" s="12"/>
      <c r="N22" s="12"/>
      <c r="O22" s="13"/>
      <c r="P22" s="14"/>
      <c r="Q22" s="6"/>
      <c r="R22" s="6"/>
      <c r="S22" s="6"/>
      <c r="T22" s="6"/>
      <c r="U22" s="6"/>
      <c r="V22" s="6"/>
      <c r="W22" s="6"/>
      <c r="X22" s="6"/>
      <c r="Y22" s="6"/>
      <c r="Z22" s="6"/>
    </row>
    <row r="23">
      <c r="A23" s="14" t="s">
        <v>132</v>
      </c>
      <c r="B23" s="28" t="s">
        <v>133</v>
      </c>
      <c r="C23" s="28" t="s">
        <v>134</v>
      </c>
      <c r="D23" s="28" t="s">
        <v>135</v>
      </c>
      <c r="E23" s="29" t="s">
        <v>136</v>
      </c>
      <c r="F23" s="28" t="s">
        <v>137</v>
      </c>
      <c r="G23" s="30" t="s">
        <v>22</v>
      </c>
      <c r="H23" s="14" t="s">
        <v>23</v>
      </c>
      <c r="I23" s="14" t="s">
        <v>48</v>
      </c>
      <c r="J23" s="14"/>
      <c r="K23" s="28" t="s">
        <v>26</v>
      </c>
      <c r="L23" s="31">
        <v>46164.0</v>
      </c>
      <c r="M23" s="12"/>
      <c r="N23" s="12"/>
      <c r="O23" s="19"/>
      <c r="P23" s="14"/>
      <c r="Q23" s="6"/>
      <c r="R23" s="6"/>
      <c r="S23" s="6"/>
      <c r="T23" s="6"/>
      <c r="U23" s="6"/>
      <c r="V23" s="6"/>
      <c r="W23" s="6"/>
      <c r="X23" s="6"/>
      <c r="Y23" s="6"/>
      <c r="Z23" s="6"/>
    </row>
    <row r="24">
      <c r="A24" s="14" t="s">
        <v>138</v>
      </c>
      <c r="B24" s="28" t="s">
        <v>133</v>
      </c>
      <c r="C24" s="32" t="s">
        <v>134</v>
      </c>
      <c r="D24" s="28" t="s">
        <v>139</v>
      </c>
      <c r="E24" s="29" t="s">
        <v>140</v>
      </c>
      <c r="F24" s="28" t="s">
        <v>141</v>
      </c>
      <c r="G24" s="30" t="s">
        <v>22</v>
      </c>
      <c r="H24" s="14" t="s">
        <v>47</v>
      </c>
      <c r="I24" s="14" t="s">
        <v>48</v>
      </c>
      <c r="J24" s="14"/>
      <c r="K24" s="28" t="s">
        <v>142</v>
      </c>
      <c r="L24" s="31">
        <v>46164.0</v>
      </c>
      <c r="M24" s="12"/>
      <c r="N24" s="12"/>
      <c r="O24" s="13" t="s">
        <v>143</v>
      </c>
      <c r="P24" s="14"/>
      <c r="Q24" s="6"/>
      <c r="R24" s="6"/>
      <c r="S24" s="6"/>
      <c r="T24" s="6"/>
      <c r="U24" s="6"/>
      <c r="V24" s="6"/>
      <c r="W24" s="6"/>
      <c r="X24" s="6"/>
      <c r="Y24" s="6"/>
      <c r="Z24" s="6"/>
    </row>
    <row r="25">
      <c r="A25" s="14" t="s">
        <v>144</v>
      </c>
      <c r="B25" s="28" t="s">
        <v>133</v>
      </c>
      <c r="C25" s="32" t="s">
        <v>134</v>
      </c>
      <c r="D25" s="28" t="s">
        <v>145</v>
      </c>
      <c r="E25" s="29" t="s">
        <v>146</v>
      </c>
      <c r="F25" s="28" t="s">
        <v>147</v>
      </c>
      <c r="G25" s="33" t="s">
        <v>22</v>
      </c>
      <c r="H25" s="14" t="s">
        <v>47</v>
      </c>
      <c r="I25" s="14" t="s">
        <v>48</v>
      </c>
      <c r="J25" s="14"/>
      <c r="K25" s="28" t="s">
        <v>148</v>
      </c>
      <c r="L25" s="31">
        <v>46164.0</v>
      </c>
      <c r="M25" s="12"/>
      <c r="N25" s="12"/>
      <c r="O25" s="19" t="s">
        <v>149</v>
      </c>
      <c r="P25" s="14"/>
      <c r="Q25" s="6"/>
      <c r="R25" s="6"/>
      <c r="S25" s="6"/>
      <c r="T25" s="6"/>
      <c r="U25" s="6"/>
      <c r="V25" s="6"/>
      <c r="W25" s="6"/>
      <c r="X25" s="6"/>
      <c r="Y25" s="6"/>
      <c r="Z25" s="6"/>
    </row>
    <row r="26">
      <c r="A26" s="14" t="s">
        <v>150</v>
      </c>
      <c r="B26" s="28" t="s">
        <v>133</v>
      </c>
      <c r="C26" s="28" t="s">
        <v>134</v>
      </c>
      <c r="D26" s="28" t="s">
        <v>151</v>
      </c>
      <c r="E26" s="29" t="s">
        <v>152</v>
      </c>
      <c r="F26" s="28" t="s">
        <v>153</v>
      </c>
      <c r="G26" s="30" t="s">
        <v>22</v>
      </c>
      <c r="H26" s="14" t="s">
        <v>83</v>
      </c>
      <c r="I26" s="14" t="s">
        <v>48</v>
      </c>
      <c r="J26" s="14"/>
      <c r="K26" s="28" t="s">
        <v>154</v>
      </c>
      <c r="L26" s="31">
        <v>46164.0</v>
      </c>
      <c r="M26" s="12"/>
      <c r="N26" s="12"/>
      <c r="O26" s="19" t="s">
        <v>155</v>
      </c>
      <c r="P26" s="14"/>
      <c r="Q26" s="6"/>
      <c r="R26" s="6"/>
      <c r="S26" s="6"/>
      <c r="T26" s="6"/>
      <c r="U26" s="6"/>
      <c r="V26" s="6"/>
      <c r="W26" s="6"/>
      <c r="X26" s="6"/>
      <c r="Y26" s="6"/>
      <c r="Z26" s="6"/>
    </row>
    <row r="27">
      <c r="A27" s="14" t="s">
        <v>156</v>
      </c>
      <c r="B27" s="28" t="s">
        <v>133</v>
      </c>
      <c r="C27" s="28" t="s">
        <v>134</v>
      </c>
      <c r="D27" s="28" t="s">
        <v>157</v>
      </c>
      <c r="E27" s="29" t="s">
        <v>158</v>
      </c>
      <c r="F27" s="32" t="s">
        <v>159</v>
      </c>
      <c r="G27" s="30" t="s">
        <v>22</v>
      </c>
      <c r="H27" s="14" t="s">
        <v>83</v>
      </c>
      <c r="I27" s="14" t="s">
        <v>160</v>
      </c>
      <c r="J27" s="14"/>
      <c r="K27" s="28" t="s">
        <v>161</v>
      </c>
      <c r="L27" s="31">
        <v>46164.0</v>
      </c>
      <c r="M27" s="12"/>
      <c r="N27" s="12"/>
      <c r="O27" s="19"/>
      <c r="P27" s="14"/>
      <c r="Q27" s="6"/>
      <c r="R27" s="6"/>
      <c r="S27" s="6"/>
      <c r="T27" s="6"/>
      <c r="U27" s="6"/>
      <c r="V27" s="6"/>
      <c r="W27" s="6"/>
      <c r="X27" s="6"/>
      <c r="Y27" s="6"/>
      <c r="Z27" s="6"/>
    </row>
    <row r="28">
      <c r="A28" s="14" t="s">
        <v>162</v>
      </c>
      <c r="B28" s="28" t="s">
        <v>133</v>
      </c>
      <c r="C28" s="28" t="s">
        <v>163</v>
      </c>
      <c r="D28" s="28" t="s">
        <v>164</v>
      </c>
      <c r="E28" s="29" t="s">
        <v>146</v>
      </c>
      <c r="F28" s="32" t="s">
        <v>165</v>
      </c>
      <c r="G28" s="34" t="s">
        <v>96</v>
      </c>
      <c r="H28" s="14" t="s">
        <v>47</v>
      </c>
      <c r="I28" s="14" t="s">
        <v>48</v>
      </c>
      <c r="J28" s="14"/>
      <c r="K28" s="28" t="s">
        <v>166</v>
      </c>
      <c r="L28" s="31">
        <v>46164.0</v>
      </c>
      <c r="M28" s="12"/>
      <c r="N28" s="12"/>
      <c r="O28" s="13" t="s">
        <v>167</v>
      </c>
      <c r="P28" s="14"/>
      <c r="Q28" s="6"/>
      <c r="R28" s="6"/>
      <c r="S28" s="6"/>
      <c r="T28" s="6"/>
      <c r="U28" s="6"/>
      <c r="V28" s="6"/>
      <c r="W28" s="6"/>
      <c r="X28" s="6"/>
      <c r="Y28" s="6"/>
      <c r="Z28" s="6"/>
    </row>
    <row r="29">
      <c r="A29" s="14" t="s">
        <v>168</v>
      </c>
      <c r="B29" s="28" t="s">
        <v>133</v>
      </c>
      <c r="C29" s="28" t="s">
        <v>134</v>
      </c>
      <c r="D29" s="28" t="s">
        <v>169</v>
      </c>
      <c r="E29" s="29" t="s">
        <v>170</v>
      </c>
      <c r="F29" s="28" t="s">
        <v>171</v>
      </c>
      <c r="G29" s="34" t="s">
        <v>172</v>
      </c>
      <c r="H29" s="14" t="s">
        <v>23</v>
      </c>
      <c r="I29" s="14" t="s">
        <v>48</v>
      </c>
      <c r="J29" s="14"/>
      <c r="K29" s="28" t="s">
        <v>173</v>
      </c>
      <c r="L29" s="31">
        <v>46164.0</v>
      </c>
      <c r="M29" s="12"/>
      <c r="N29" s="12"/>
      <c r="O29" s="19" t="s">
        <v>174</v>
      </c>
      <c r="P29" s="14"/>
      <c r="Q29" s="6"/>
      <c r="R29" s="6"/>
      <c r="S29" s="6"/>
      <c r="T29" s="6"/>
      <c r="U29" s="6"/>
      <c r="V29" s="6"/>
      <c r="W29" s="6"/>
      <c r="X29" s="6"/>
      <c r="Y29" s="6"/>
      <c r="Z29" s="6"/>
    </row>
    <row r="30">
      <c r="A30" s="14" t="s">
        <v>175</v>
      </c>
      <c r="B30" s="28" t="s">
        <v>133</v>
      </c>
      <c r="C30" s="28" t="s">
        <v>134</v>
      </c>
      <c r="D30" s="28" t="s">
        <v>176</v>
      </c>
      <c r="E30" s="29" t="s">
        <v>152</v>
      </c>
      <c r="F30" s="28" t="s">
        <v>177</v>
      </c>
      <c r="G30" s="34" t="s">
        <v>172</v>
      </c>
      <c r="H30" s="14" t="s">
        <v>47</v>
      </c>
      <c r="I30" s="14" t="s">
        <v>48</v>
      </c>
      <c r="J30" s="14"/>
      <c r="K30" s="28" t="s">
        <v>178</v>
      </c>
      <c r="L30" s="31">
        <v>46164.0</v>
      </c>
      <c r="M30" s="12"/>
      <c r="N30" s="12"/>
      <c r="O30" s="19"/>
      <c r="P30" s="14"/>
      <c r="Q30" s="6"/>
      <c r="R30" s="6"/>
      <c r="S30" s="6"/>
      <c r="T30" s="6"/>
      <c r="U30" s="6"/>
      <c r="V30" s="6"/>
      <c r="W30" s="6"/>
      <c r="X30" s="6"/>
      <c r="Y30" s="6"/>
      <c r="Z30" s="6"/>
    </row>
    <row r="31">
      <c r="A31" s="14" t="s">
        <v>179</v>
      </c>
      <c r="B31" s="28" t="s">
        <v>133</v>
      </c>
      <c r="C31" s="28" t="s">
        <v>134</v>
      </c>
      <c r="D31" s="28" t="s">
        <v>180</v>
      </c>
      <c r="E31" s="29" t="s">
        <v>181</v>
      </c>
      <c r="F31" s="28" t="s">
        <v>182</v>
      </c>
      <c r="G31" s="34" t="s">
        <v>172</v>
      </c>
      <c r="H31" s="14" t="s">
        <v>47</v>
      </c>
      <c r="I31" s="14" t="s">
        <v>48</v>
      </c>
      <c r="J31" s="14"/>
      <c r="K31" s="14" t="s">
        <v>183</v>
      </c>
      <c r="L31" s="35">
        <v>46164.0</v>
      </c>
      <c r="M31" s="12"/>
      <c r="N31" s="12"/>
      <c r="O31" s="19" t="s">
        <v>184</v>
      </c>
      <c r="P31" s="14"/>
      <c r="Q31" s="6"/>
      <c r="R31" s="6"/>
      <c r="S31" s="6"/>
      <c r="T31" s="6"/>
      <c r="U31" s="6"/>
      <c r="V31" s="6"/>
      <c r="W31" s="6"/>
      <c r="X31" s="6"/>
      <c r="Y31" s="6"/>
      <c r="Z31" s="6"/>
    </row>
    <row r="32">
      <c r="A32" s="14" t="s">
        <v>185</v>
      </c>
      <c r="B32" s="28" t="s">
        <v>133</v>
      </c>
      <c r="C32" s="28" t="s">
        <v>134</v>
      </c>
      <c r="D32" s="28" t="s">
        <v>186</v>
      </c>
      <c r="E32" s="29" t="s">
        <v>187</v>
      </c>
      <c r="F32" s="28" t="s">
        <v>188</v>
      </c>
      <c r="G32" s="34" t="s">
        <v>172</v>
      </c>
      <c r="H32" s="14" t="s">
        <v>47</v>
      </c>
      <c r="I32" s="14" t="s">
        <v>48</v>
      </c>
      <c r="J32" s="28"/>
      <c r="K32" s="28" t="s">
        <v>189</v>
      </c>
      <c r="L32" s="31">
        <v>46164.0</v>
      </c>
      <c r="M32" s="12"/>
      <c r="N32" s="12"/>
      <c r="O32" s="13" t="s">
        <v>190</v>
      </c>
      <c r="P32" s="14"/>
      <c r="Q32" s="6"/>
      <c r="R32" s="6"/>
      <c r="S32" s="6"/>
      <c r="T32" s="6"/>
      <c r="U32" s="6"/>
      <c r="V32" s="6"/>
      <c r="W32" s="6"/>
      <c r="X32" s="6"/>
      <c r="Y32" s="6"/>
      <c r="Z32" s="6"/>
    </row>
    <row r="33">
      <c r="A33" s="14" t="s">
        <v>191</v>
      </c>
      <c r="B33" s="28" t="s">
        <v>133</v>
      </c>
      <c r="C33" s="28" t="s">
        <v>134</v>
      </c>
      <c r="D33" s="28" t="s">
        <v>192</v>
      </c>
      <c r="E33" s="29" t="s">
        <v>146</v>
      </c>
      <c r="F33" s="28" t="s">
        <v>193</v>
      </c>
      <c r="G33" s="30" t="s">
        <v>172</v>
      </c>
      <c r="H33" s="14" t="s">
        <v>47</v>
      </c>
      <c r="I33" s="14" t="s">
        <v>48</v>
      </c>
      <c r="J33" s="14"/>
      <c r="K33" s="28" t="s">
        <v>194</v>
      </c>
      <c r="L33" s="31">
        <v>46164.0</v>
      </c>
      <c r="M33" s="12"/>
      <c r="N33" s="12"/>
      <c r="O33" s="13"/>
      <c r="P33" s="14"/>
      <c r="Q33" s="6"/>
      <c r="R33" s="6"/>
      <c r="S33" s="6"/>
      <c r="T33" s="6"/>
      <c r="U33" s="6"/>
      <c r="V33" s="6"/>
      <c r="W33" s="6"/>
      <c r="X33" s="6"/>
      <c r="Y33" s="6"/>
      <c r="Z33" s="6"/>
    </row>
    <row r="34">
      <c r="A34" s="14" t="s">
        <v>195</v>
      </c>
      <c r="B34" s="28" t="s">
        <v>133</v>
      </c>
      <c r="C34" s="28" t="s">
        <v>134</v>
      </c>
      <c r="D34" s="28" t="s">
        <v>196</v>
      </c>
      <c r="E34" s="29" t="s">
        <v>152</v>
      </c>
      <c r="F34" s="14" t="s">
        <v>197</v>
      </c>
      <c r="G34" s="36">
        <v>46140.0</v>
      </c>
      <c r="H34" s="14" t="s">
        <v>83</v>
      </c>
      <c r="I34" s="14" t="s">
        <v>48</v>
      </c>
      <c r="J34" s="14"/>
      <c r="K34" s="28" t="s">
        <v>198</v>
      </c>
      <c r="L34" s="31">
        <v>46164.0</v>
      </c>
      <c r="M34" s="12"/>
      <c r="N34" s="12"/>
      <c r="O34" s="13" t="s">
        <v>199</v>
      </c>
      <c r="P34" s="14"/>
      <c r="Q34" s="6"/>
      <c r="R34" s="6"/>
      <c r="S34" s="6"/>
      <c r="T34" s="6"/>
      <c r="U34" s="6"/>
      <c r="V34" s="6"/>
      <c r="W34" s="6"/>
      <c r="X34" s="6"/>
      <c r="Y34" s="6"/>
      <c r="Z34" s="6"/>
    </row>
    <row r="35">
      <c r="A35" s="14" t="s">
        <v>200</v>
      </c>
      <c r="B35" s="28" t="s">
        <v>133</v>
      </c>
      <c r="C35" s="28" t="s">
        <v>134</v>
      </c>
      <c r="D35" s="28" t="s">
        <v>201</v>
      </c>
      <c r="E35" s="29" t="s">
        <v>202</v>
      </c>
      <c r="F35" s="32" t="s">
        <v>203</v>
      </c>
      <c r="G35" s="34" t="s">
        <v>22</v>
      </c>
      <c r="H35" s="14" t="s">
        <v>83</v>
      </c>
      <c r="I35" s="14" t="s">
        <v>48</v>
      </c>
      <c r="J35" s="14"/>
      <c r="K35" s="28" t="s">
        <v>204</v>
      </c>
      <c r="L35" s="31">
        <v>46164.0</v>
      </c>
      <c r="M35" s="12"/>
      <c r="N35" s="12"/>
      <c r="O35" s="19"/>
      <c r="P35" s="14"/>
      <c r="Q35" s="6"/>
      <c r="R35" s="6"/>
      <c r="S35" s="6"/>
      <c r="T35" s="6"/>
      <c r="U35" s="6"/>
      <c r="V35" s="6"/>
      <c r="W35" s="6"/>
      <c r="X35" s="6"/>
      <c r="Y35" s="6"/>
      <c r="Z35" s="6"/>
    </row>
    <row r="36">
      <c r="A36" s="37" t="s">
        <v>205</v>
      </c>
      <c r="B36" s="38" t="s">
        <v>133</v>
      </c>
      <c r="C36" s="38" t="s">
        <v>163</v>
      </c>
      <c r="D36" s="37" t="s">
        <v>206</v>
      </c>
      <c r="E36" s="39" t="s">
        <v>207</v>
      </c>
      <c r="F36" s="38" t="s">
        <v>208</v>
      </c>
      <c r="G36" s="40" t="s">
        <v>22</v>
      </c>
      <c r="H36" s="37" t="s">
        <v>23</v>
      </c>
      <c r="I36" s="37" t="s">
        <v>48</v>
      </c>
      <c r="J36" s="37"/>
      <c r="K36" s="38" t="s">
        <v>26</v>
      </c>
      <c r="L36" s="41">
        <v>46164.0</v>
      </c>
      <c r="M36" s="12"/>
      <c r="N36" s="12"/>
      <c r="O36" s="13"/>
      <c r="P36" s="14"/>
      <c r="Q36" s="6"/>
      <c r="R36" s="6"/>
      <c r="S36" s="6"/>
      <c r="T36" s="6"/>
      <c r="U36" s="6"/>
      <c r="V36" s="6"/>
      <c r="W36" s="6"/>
      <c r="X36" s="6"/>
      <c r="Y36" s="6"/>
      <c r="Z36" s="6"/>
    </row>
    <row r="37">
      <c r="A37" s="37" t="s">
        <v>209</v>
      </c>
      <c r="B37" s="38" t="s">
        <v>210</v>
      </c>
      <c r="C37" s="38" t="s">
        <v>211</v>
      </c>
      <c r="D37" s="38" t="s">
        <v>212</v>
      </c>
      <c r="E37" s="39" t="s">
        <v>20</v>
      </c>
      <c r="F37" s="38" t="s">
        <v>213</v>
      </c>
      <c r="G37" s="40" t="s">
        <v>22</v>
      </c>
      <c r="H37" s="37" t="s">
        <v>23</v>
      </c>
      <c r="I37" s="37" t="s">
        <v>48</v>
      </c>
      <c r="J37" s="37"/>
      <c r="K37" s="38" t="s">
        <v>26</v>
      </c>
      <c r="L37" s="41">
        <v>46164.0</v>
      </c>
      <c r="M37" s="12"/>
      <c r="N37" s="12"/>
      <c r="O37" s="13"/>
      <c r="P37" s="14"/>
      <c r="Q37" s="6"/>
      <c r="R37" s="6"/>
      <c r="S37" s="6"/>
      <c r="T37" s="6"/>
      <c r="U37" s="6"/>
      <c r="V37" s="6"/>
      <c r="W37" s="6"/>
      <c r="X37" s="6"/>
      <c r="Y37" s="6"/>
      <c r="Z37" s="6"/>
    </row>
    <row r="38">
      <c r="A38" s="37" t="s">
        <v>214</v>
      </c>
      <c r="B38" s="38" t="s">
        <v>210</v>
      </c>
      <c r="C38" s="38" t="s">
        <v>211</v>
      </c>
      <c r="D38" s="38" t="s">
        <v>215</v>
      </c>
      <c r="E38" s="42" t="s">
        <v>20</v>
      </c>
      <c r="F38" s="38" t="s">
        <v>216</v>
      </c>
      <c r="G38" s="40" t="s">
        <v>22</v>
      </c>
      <c r="H38" s="37" t="s">
        <v>23</v>
      </c>
      <c r="I38" s="37" t="s">
        <v>48</v>
      </c>
      <c r="J38" s="37"/>
      <c r="K38" s="38" t="s">
        <v>26</v>
      </c>
      <c r="L38" s="41">
        <v>46164.0</v>
      </c>
      <c r="M38" s="12"/>
      <c r="N38" s="12"/>
      <c r="O38" s="13"/>
      <c r="P38" s="14"/>
      <c r="Q38" s="6"/>
      <c r="R38" s="6"/>
      <c r="S38" s="6"/>
      <c r="T38" s="6"/>
      <c r="U38" s="6"/>
      <c r="V38" s="6"/>
      <c r="W38" s="6"/>
      <c r="X38" s="6"/>
      <c r="Y38" s="6"/>
      <c r="Z38" s="6"/>
    </row>
    <row r="39">
      <c r="A39" s="37" t="s">
        <v>217</v>
      </c>
      <c r="B39" s="38" t="s">
        <v>210</v>
      </c>
      <c r="C39" s="38" t="s">
        <v>211</v>
      </c>
      <c r="D39" s="38" t="s">
        <v>218</v>
      </c>
      <c r="E39" s="42" t="s">
        <v>146</v>
      </c>
      <c r="F39" s="38" t="s">
        <v>219</v>
      </c>
      <c r="G39" s="40" t="s">
        <v>22</v>
      </c>
      <c r="H39" s="43" t="s">
        <v>23</v>
      </c>
      <c r="I39" s="37" t="s">
        <v>48</v>
      </c>
      <c r="J39" s="37"/>
      <c r="K39" s="38" t="s">
        <v>26</v>
      </c>
      <c r="L39" s="41">
        <v>46164.0</v>
      </c>
      <c r="M39" s="12"/>
      <c r="N39" s="12"/>
      <c r="O39" s="13"/>
      <c r="P39" s="14"/>
      <c r="Q39" s="6"/>
      <c r="R39" s="6"/>
      <c r="S39" s="6"/>
      <c r="T39" s="6"/>
      <c r="U39" s="6"/>
      <c r="V39" s="6"/>
      <c r="W39" s="6"/>
      <c r="X39" s="6"/>
      <c r="Y39" s="6"/>
      <c r="Z39" s="6"/>
    </row>
    <row r="40">
      <c r="A40" s="37" t="s">
        <v>220</v>
      </c>
      <c r="B40" s="38" t="s">
        <v>210</v>
      </c>
      <c r="C40" s="38" t="s">
        <v>211</v>
      </c>
      <c r="D40" s="38" t="s">
        <v>221</v>
      </c>
      <c r="E40" s="42" t="s">
        <v>146</v>
      </c>
      <c r="F40" s="37" t="s">
        <v>222</v>
      </c>
      <c r="G40" s="40" t="s">
        <v>22</v>
      </c>
      <c r="H40" s="37" t="s">
        <v>47</v>
      </c>
      <c r="I40" s="37" t="s">
        <v>48</v>
      </c>
      <c r="J40" s="37"/>
      <c r="K40" s="38" t="s">
        <v>223</v>
      </c>
      <c r="L40" s="41">
        <v>46164.0</v>
      </c>
      <c r="M40" s="12"/>
      <c r="N40" s="12"/>
      <c r="O40" s="13" t="s">
        <v>224</v>
      </c>
      <c r="P40" s="14"/>
      <c r="Q40" s="6"/>
      <c r="R40" s="6"/>
      <c r="S40" s="6"/>
      <c r="T40" s="6"/>
      <c r="U40" s="6"/>
      <c r="V40" s="6"/>
      <c r="W40" s="6"/>
      <c r="X40" s="6"/>
      <c r="Y40" s="6"/>
      <c r="Z40" s="6"/>
    </row>
    <row r="41">
      <c r="A41" s="37" t="s">
        <v>225</v>
      </c>
      <c r="B41" s="38" t="s">
        <v>210</v>
      </c>
      <c r="C41" s="38" t="s">
        <v>211</v>
      </c>
      <c r="D41" s="38" t="s">
        <v>226</v>
      </c>
      <c r="E41" s="42" t="s">
        <v>227</v>
      </c>
      <c r="F41" s="37" t="s">
        <v>228</v>
      </c>
      <c r="G41" s="40" t="s">
        <v>22</v>
      </c>
      <c r="H41" s="37" t="s">
        <v>47</v>
      </c>
      <c r="I41" s="37" t="s">
        <v>48</v>
      </c>
      <c r="J41" s="37"/>
      <c r="K41" s="38" t="s">
        <v>229</v>
      </c>
      <c r="L41" s="41">
        <v>46164.0</v>
      </c>
      <c r="M41" s="12"/>
      <c r="N41" s="12"/>
      <c r="O41" s="13"/>
      <c r="P41" s="14"/>
      <c r="Q41" s="6"/>
      <c r="R41" s="6"/>
      <c r="S41" s="6"/>
      <c r="T41" s="6"/>
      <c r="U41" s="6"/>
      <c r="V41" s="6"/>
      <c r="W41" s="6"/>
      <c r="X41" s="6"/>
      <c r="Y41" s="6"/>
      <c r="Z41" s="6"/>
    </row>
    <row r="42">
      <c r="A42" s="37" t="s">
        <v>230</v>
      </c>
      <c r="B42" s="38" t="s">
        <v>210</v>
      </c>
      <c r="C42" s="38" t="s">
        <v>211</v>
      </c>
      <c r="D42" s="37" t="s">
        <v>231</v>
      </c>
      <c r="E42" s="39" t="s">
        <v>227</v>
      </c>
      <c r="F42" s="38" t="s">
        <v>232</v>
      </c>
      <c r="G42" s="44" t="s">
        <v>22</v>
      </c>
      <c r="H42" s="37" t="s">
        <v>47</v>
      </c>
      <c r="I42" s="37" t="s">
        <v>48</v>
      </c>
      <c r="J42" s="37"/>
      <c r="K42" s="38" t="s">
        <v>233</v>
      </c>
      <c r="L42" s="41">
        <v>46164.0</v>
      </c>
      <c r="M42" s="12"/>
      <c r="N42" s="12"/>
      <c r="O42" s="13" t="s">
        <v>234</v>
      </c>
      <c r="P42" s="14"/>
      <c r="Q42" s="6"/>
      <c r="R42" s="6"/>
      <c r="S42" s="6"/>
      <c r="T42" s="6"/>
      <c r="U42" s="6"/>
      <c r="V42" s="6"/>
      <c r="W42" s="6"/>
      <c r="X42" s="6"/>
      <c r="Y42" s="6"/>
      <c r="Z42" s="6"/>
    </row>
    <row r="43">
      <c r="A43" s="37" t="s">
        <v>235</v>
      </c>
      <c r="B43" s="38" t="s">
        <v>210</v>
      </c>
      <c r="C43" s="38" t="s">
        <v>236</v>
      </c>
      <c r="D43" s="37" t="s">
        <v>237</v>
      </c>
      <c r="E43" s="39" t="s">
        <v>238</v>
      </c>
      <c r="F43" s="38" t="s">
        <v>239</v>
      </c>
      <c r="G43" s="44" t="s">
        <v>172</v>
      </c>
      <c r="H43" s="37" t="s">
        <v>83</v>
      </c>
      <c r="I43" s="37" t="s">
        <v>48</v>
      </c>
      <c r="J43" s="37"/>
      <c r="K43" s="38" t="s">
        <v>240</v>
      </c>
      <c r="L43" s="41">
        <v>46164.0</v>
      </c>
      <c r="M43" s="12"/>
      <c r="N43" s="12"/>
      <c r="O43" s="13"/>
      <c r="P43" s="14"/>
      <c r="Q43" s="6"/>
      <c r="R43" s="6"/>
      <c r="S43" s="6"/>
      <c r="T43" s="6"/>
      <c r="U43" s="6"/>
      <c r="V43" s="6"/>
      <c r="W43" s="6"/>
      <c r="X43" s="6"/>
      <c r="Y43" s="6"/>
      <c r="Z43" s="6"/>
    </row>
    <row r="44">
      <c r="A44" s="37" t="s">
        <v>241</v>
      </c>
      <c r="B44" s="38" t="s">
        <v>210</v>
      </c>
      <c r="C44" s="38" t="s">
        <v>236</v>
      </c>
      <c r="D44" s="38" t="s">
        <v>242</v>
      </c>
      <c r="E44" s="42" t="s">
        <v>243</v>
      </c>
      <c r="F44" s="38" t="s">
        <v>244</v>
      </c>
      <c r="G44" s="44" t="s">
        <v>172</v>
      </c>
      <c r="H44" s="37" t="s">
        <v>23</v>
      </c>
      <c r="I44" s="37" t="s">
        <v>48</v>
      </c>
      <c r="J44" s="37"/>
      <c r="K44" s="38" t="s">
        <v>26</v>
      </c>
      <c r="L44" s="41">
        <v>46164.0</v>
      </c>
      <c r="M44" s="12"/>
      <c r="N44" s="12"/>
      <c r="O44" s="13"/>
      <c r="P44" s="14"/>
      <c r="Q44" s="6"/>
      <c r="R44" s="6"/>
      <c r="S44" s="6"/>
      <c r="T44" s="6"/>
      <c r="U44" s="6"/>
      <c r="V44" s="6"/>
      <c r="W44" s="6"/>
      <c r="X44" s="6"/>
      <c r="Y44" s="6"/>
      <c r="Z44" s="6"/>
    </row>
    <row r="45">
      <c r="A45" s="37" t="s">
        <v>245</v>
      </c>
      <c r="B45" s="38" t="s">
        <v>210</v>
      </c>
      <c r="C45" s="38" t="s">
        <v>246</v>
      </c>
      <c r="D45" s="38" t="s">
        <v>247</v>
      </c>
      <c r="E45" s="42" t="s">
        <v>248</v>
      </c>
      <c r="F45" s="37" t="s">
        <v>249</v>
      </c>
      <c r="G45" s="44" t="s">
        <v>172</v>
      </c>
      <c r="H45" s="37" t="s">
        <v>23</v>
      </c>
      <c r="I45" s="37" t="s">
        <v>48</v>
      </c>
      <c r="J45" s="37"/>
      <c r="K45" s="38" t="s">
        <v>250</v>
      </c>
      <c r="L45" s="41">
        <v>46164.0</v>
      </c>
      <c r="M45" s="12"/>
      <c r="N45" s="12"/>
      <c r="O45" s="13"/>
      <c r="P45" s="14"/>
      <c r="Q45" s="6"/>
      <c r="R45" s="6"/>
      <c r="S45" s="6"/>
      <c r="T45" s="6"/>
      <c r="U45" s="6"/>
      <c r="V45" s="6"/>
      <c r="W45" s="6"/>
      <c r="X45" s="6"/>
      <c r="Y45" s="6"/>
      <c r="Z45" s="6"/>
    </row>
    <row r="46">
      <c r="A46" s="37" t="s">
        <v>251</v>
      </c>
      <c r="B46" s="38" t="s">
        <v>210</v>
      </c>
      <c r="C46" s="38" t="s">
        <v>246</v>
      </c>
      <c r="D46" s="38" t="s">
        <v>252</v>
      </c>
      <c r="E46" s="39" t="s">
        <v>253</v>
      </c>
      <c r="F46" s="38" t="s">
        <v>254</v>
      </c>
      <c r="G46" s="40" t="s">
        <v>172</v>
      </c>
      <c r="H46" s="37" t="s">
        <v>23</v>
      </c>
      <c r="I46" s="37" t="s">
        <v>48</v>
      </c>
      <c r="J46" s="37"/>
      <c r="K46" s="38" t="s">
        <v>26</v>
      </c>
      <c r="L46" s="41">
        <v>46164.0</v>
      </c>
      <c r="M46" s="12"/>
      <c r="N46" s="12"/>
      <c r="O46" s="13"/>
      <c r="P46" s="14"/>
      <c r="Q46" s="6"/>
      <c r="R46" s="6"/>
      <c r="S46" s="6"/>
      <c r="T46" s="6"/>
      <c r="U46" s="6"/>
      <c r="V46" s="6"/>
      <c r="W46" s="6"/>
      <c r="X46" s="6"/>
      <c r="Y46" s="6"/>
      <c r="Z46" s="6"/>
    </row>
    <row r="47">
      <c r="A47" s="37" t="s">
        <v>255</v>
      </c>
      <c r="B47" s="38" t="s">
        <v>210</v>
      </c>
      <c r="C47" s="38" t="s">
        <v>256</v>
      </c>
      <c r="D47" s="38" t="s">
        <v>257</v>
      </c>
      <c r="E47" s="39" t="s">
        <v>258</v>
      </c>
      <c r="F47" s="38" t="s">
        <v>259</v>
      </c>
      <c r="G47" s="40" t="s">
        <v>22</v>
      </c>
      <c r="H47" s="37" t="s">
        <v>23</v>
      </c>
      <c r="I47" s="37" t="s">
        <v>48</v>
      </c>
      <c r="J47" s="37"/>
      <c r="K47" s="38" t="s">
        <v>26</v>
      </c>
      <c r="L47" s="41">
        <v>46164.0</v>
      </c>
      <c r="M47" s="12"/>
      <c r="N47" s="12"/>
      <c r="O47" s="13"/>
      <c r="P47" s="14"/>
      <c r="Q47" s="6"/>
      <c r="R47" s="6"/>
      <c r="S47" s="6"/>
      <c r="T47" s="6"/>
      <c r="U47" s="6"/>
      <c r="V47" s="6"/>
      <c r="W47" s="6"/>
      <c r="X47" s="6"/>
      <c r="Y47" s="6"/>
      <c r="Z47" s="6"/>
    </row>
    <row r="48">
      <c r="A48" s="37" t="s">
        <v>260</v>
      </c>
      <c r="B48" s="38" t="s">
        <v>210</v>
      </c>
      <c r="C48" s="38" t="s">
        <v>256</v>
      </c>
      <c r="D48" s="38" t="s">
        <v>261</v>
      </c>
      <c r="E48" s="39" t="s">
        <v>258</v>
      </c>
      <c r="F48" s="38" t="s">
        <v>262</v>
      </c>
      <c r="G48" s="40" t="s">
        <v>22</v>
      </c>
      <c r="H48" s="37" t="s">
        <v>23</v>
      </c>
      <c r="I48" s="37" t="s">
        <v>48</v>
      </c>
      <c r="J48" s="37"/>
      <c r="K48" s="38" t="s">
        <v>26</v>
      </c>
      <c r="L48" s="41">
        <v>46164.0</v>
      </c>
      <c r="M48" s="12"/>
      <c r="N48" s="12"/>
      <c r="O48" s="13" t="s">
        <v>263</v>
      </c>
      <c r="P48" s="14"/>
      <c r="Q48" s="6"/>
      <c r="R48" s="6"/>
      <c r="S48" s="6"/>
      <c r="T48" s="6"/>
      <c r="U48" s="6"/>
      <c r="V48" s="6"/>
      <c r="W48" s="6"/>
      <c r="X48" s="6"/>
      <c r="Y48" s="6"/>
      <c r="Z48" s="6"/>
    </row>
    <row r="49">
      <c r="A49" s="37" t="s">
        <v>264</v>
      </c>
      <c r="B49" s="38" t="s">
        <v>210</v>
      </c>
      <c r="C49" s="38" t="s">
        <v>256</v>
      </c>
      <c r="D49" s="37" t="s">
        <v>265</v>
      </c>
      <c r="E49" s="39" t="s">
        <v>266</v>
      </c>
      <c r="F49" s="38" t="s">
        <v>267</v>
      </c>
      <c r="G49" s="40" t="s">
        <v>22</v>
      </c>
      <c r="H49" s="37" t="s">
        <v>23</v>
      </c>
      <c r="I49" s="37" t="s">
        <v>48</v>
      </c>
      <c r="J49" s="37"/>
      <c r="K49" s="38" t="s">
        <v>26</v>
      </c>
      <c r="L49" s="41">
        <v>46164.0</v>
      </c>
      <c r="M49" s="12"/>
      <c r="N49" s="12"/>
      <c r="O49" s="13"/>
      <c r="P49" s="14"/>
      <c r="Q49" s="6"/>
      <c r="R49" s="6"/>
      <c r="S49" s="6"/>
      <c r="T49" s="6"/>
      <c r="U49" s="6"/>
      <c r="V49" s="6"/>
      <c r="W49" s="6"/>
      <c r="X49" s="6"/>
      <c r="Y49" s="6"/>
      <c r="Z49" s="6"/>
    </row>
    <row r="50">
      <c r="A50" s="37" t="s">
        <v>268</v>
      </c>
      <c r="B50" s="38" t="s">
        <v>210</v>
      </c>
      <c r="C50" s="38" t="s">
        <v>256</v>
      </c>
      <c r="D50" s="38" t="s">
        <v>269</v>
      </c>
      <c r="E50" s="39" t="s">
        <v>270</v>
      </c>
      <c r="F50" s="38" t="s">
        <v>271</v>
      </c>
      <c r="G50" s="44" t="s">
        <v>22</v>
      </c>
      <c r="H50" s="37" t="s">
        <v>47</v>
      </c>
      <c r="I50" s="37" t="s">
        <v>272</v>
      </c>
      <c r="J50" s="37"/>
      <c r="K50" s="38" t="s">
        <v>273</v>
      </c>
      <c r="L50" s="41">
        <v>46164.0</v>
      </c>
      <c r="M50" s="12"/>
      <c r="N50" s="12"/>
      <c r="O50" s="13"/>
      <c r="P50" s="14"/>
      <c r="Q50" s="6"/>
      <c r="R50" s="6"/>
      <c r="S50" s="6"/>
      <c r="T50" s="6"/>
      <c r="U50" s="6"/>
      <c r="V50" s="6"/>
      <c r="W50" s="6"/>
      <c r="X50" s="6"/>
      <c r="Y50" s="6"/>
      <c r="Z50" s="6"/>
    </row>
    <row r="51">
      <c r="A51" s="37" t="s">
        <v>274</v>
      </c>
      <c r="B51" s="38" t="s">
        <v>210</v>
      </c>
      <c r="C51" s="38" t="s">
        <v>256</v>
      </c>
      <c r="D51" s="38" t="s">
        <v>275</v>
      </c>
      <c r="E51" s="39" t="s">
        <v>276</v>
      </c>
      <c r="F51" s="38" t="s">
        <v>277</v>
      </c>
      <c r="G51" s="40" t="s">
        <v>22</v>
      </c>
      <c r="H51" s="37" t="s">
        <v>23</v>
      </c>
      <c r="I51" s="37" t="s">
        <v>48</v>
      </c>
      <c r="J51" s="37"/>
      <c r="K51" s="38" t="s">
        <v>26</v>
      </c>
      <c r="L51" s="41">
        <v>46164.0</v>
      </c>
      <c r="M51" s="12"/>
      <c r="N51" s="12"/>
      <c r="O51" s="13"/>
      <c r="P51" s="14"/>
      <c r="Q51" s="6"/>
      <c r="R51" s="6"/>
      <c r="S51" s="6"/>
      <c r="T51" s="6"/>
      <c r="U51" s="6"/>
      <c r="V51" s="6"/>
      <c r="W51" s="6"/>
      <c r="X51" s="6"/>
      <c r="Y51" s="6"/>
      <c r="Z51" s="6"/>
    </row>
    <row r="52">
      <c r="A52" s="37" t="s">
        <v>278</v>
      </c>
      <c r="B52" s="38" t="s">
        <v>210</v>
      </c>
      <c r="C52" s="38" t="s">
        <v>256</v>
      </c>
      <c r="D52" s="38" t="s">
        <v>279</v>
      </c>
      <c r="E52" s="39" t="s">
        <v>258</v>
      </c>
      <c r="F52" s="38" t="s">
        <v>280</v>
      </c>
      <c r="G52" s="40" t="s">
        <v>22</v>
      </c>
      <c r="H52" s="37" t="s">
        <v>47</v>
      </c>
      <c r="I52" s="37" t="s">
        <v>48</v>
      </c>
      <c r="J52" s="37"/>
      <c r="K52" s="38" t="s">
        <v>281</v>
      </c>
      <c r="L52" s="41">
        <v>46164.0</v>
      </c>
      <c r="M52" s="12"/>
      <c r="N52" s="12"/>
      <c r="O52" s="13"/>
      <c r="P52" s="14"/>
      <c r="Q52" s="6"/>
      <c r="R52" s="6"/>
      <c r="S52" s="6"/>
      <c r="T52" s="6"/>
      <c r="U52" s="6"/>
      <c r="V52" s="6"/>
      <c r="W52" s="6"/>
      <c r="X52" s="6"/>
      <c r="Y52" s="6"/>
      <c r="Z52" s="6"/>
    </row>
    <row r="53">
      <c r="A53" s="37" t="s">
        <v>282</v>
      </c>
      <c r="B53" s="38" t="s">
        <v>210</v>
      </c>
      <c r="C53" s="38" t="s">
        <v>256</v>
      </c>
      <c r="D53" s="38" t="s">
        <v>283</v>
      </c>
      <c r="E53" s="39" t="s">
        <v>284</v>
      </c>
      <c r="F53" s="38" t="s">
        <v>285</v>
      </c>
      <c r="G53" s="40" t="s">
        <v>22</v>
      </c>
      <c r="H53" s="37" t="s">
        <v>47</v>
      </c>
      <c r="I53" s="37" t="s">
        <v>48</v>
      </c>
      <c r="J53" s="37"/>
      <c r="K53" s="37" t="s">
        <v>286</v>
      </c>
      <c r="L53" s="45">
        <v>46164.0</v>
      </c>
      <c r="M53" s="12"/>
      <c r="N53" s="12"/>
      <c r="O53" s="13"/>
      <c r="P53" s="14"/>
      <c r="Q53" s="6"/>
      <c r="R53" s="6"/>
      <c r="S53" s="6"/>
      <c r="T53" s="6"/>
      <c r="U53" s="6"/>
      <c r="V53" s="6"/>
      <c r="W53" s="6"/>
      <c r="X53" s="6"/>
      <c r="Y53" s="6"/>
      <c r="Z53" s="6"/>
    </row>
    <row r="54">
      <c r="A54" s="37" t="s">
        <v>287</v>
      </c>
      <c r="B54" s="38" t="s">
        <v>210</v>
      </c>
      <c r="C54" s="38" t="s">
        <v>256</v>
      </c>
      <c r="D54" s="38" t="s">
        <v>288</v>
      </c>
      <c r="E54" s="42" t="s">
        <v>289</v>
      </c>
      <c r="F54" s="38" t="s">
        <v>290</v>
      </c>
      <c r="G54" s="40" t="s">
        <v>22</v>
      </c>
      <c r="H54" s="37" t="s">
        <v>23</v>
      </c>
      <c r="I54" s="37" t="s">
        <v>48</v>
      </c>
      <c r="J54" s="37"/>
      <c r="K54" s="38" t="s">
        <v>26</v>
      </c>
      <c r="L54" s="41">
        <v>46164.0</v>
      </c>
      <c r="M54" s="12"/>
      <c r="N54" s="12"/>
      <c r="O54" s="13"/>
      <c r="P54" s="14"/>
      <c r="Q54" s="6"/>
      <c r="R54" s="6"/>
      <c r="S54" s="6"/>
      <c r="T54" s="6"/>
      <c r="U54" s="6"/>
      <c r="V54" s="6"/>
      <c r="W54" s="6"/>
      <c r="X54" s="6"/>
      <c r="Y54" s="6"/>
      <c r="Z54" s="6"/>
    </row>
    <row r="55">
      <c r="A55" s="37" t="s">
        <v>291</v>
      </c>
      <c r="B55" s="38" t="s">
        <v>210</v>
      </c>
      <c r="C55" s="38" t="s">
        <v>256</v>
      </c>
      <c r="D55" s="38" t="s">
        <v>292</v>
      </c>
      <c r="E55" s="42" t="s">
        <v>293</v>
      </c>
      <c r="F55" s="38" t="s">
        <v>294</v>
      </c>
      <c r="G55" s="40" t="s">
        <v>22</v>
      </c>
      <c r="H55" s="37" t="s">
        <v>47</v>
      </c>
      <c r="I55" s="37" t="s">
        <v>48</v>
      </c>
      <c r="J55" s="37"/>
      <c r="K55" s="38" t="s">
        <v>110</v>
      </c>
      <c r="L55" s="41">
        <v>46164.0</v>
      </c>
      <c r="M55" s="12"/>
      <c r="N55" s="12"/>
      <c r="O55" s="13"/>
      <c r="P55" s="14"/>
      <c r="Q55" s="6"/>
      <c r="R55" s="6"/>
      <c r="S55" s="6"/>
      <c r="T55" s="6"/>
      <c r="U55" s="6"/>
      <c r="V55" s="6"/>
      <c r="W55" s="6"/>
      <c r="X55" s="6"/>
      <c r="Y55" s="6"/>
      <c r="Z55" s="6"/>
    </row>
    <row r="56">
      <c r="A56" s="37" t="s">
        <v>295</v>
      </c>
      <c r="B56" s="38" t="s">
        <v>210</v>
      </c>
      <c r="C56" s="38" t="s">
        <v>256</v>
      </c>
      <c r="D56" s="38" t="s">
        <v>296</v>
      </c>
      <c r="E56" s="42" t="s">
        <v>297</v>
      </c>
      <c r="F56" s="38" t="s">
        <v>298</v>
      </c>
      <c r="G56" s="40" t="s">
        <v>22</v>
      </c>
      <c r="H56" s="37" t="s">
        <v>47</v>
      </c>
      <c r="I56" s="37" t="s">
        <v>48</v>
      </c>
      <c r="J56" s="37"/>
      <c r="K56" s="38" t="s">
        <v>299</v>
      </c>
      <c r="L56" s="41">
        <v>46164.0</v>
      </c>
      <c r="M56" s="12"/>
      <c r="N56" s="12"/>
      <c r="O56" s="13"/>
      <c r="P56" s="14"/>
      <c r="Q56" s="6"/>
      <c r="R56" s="6"/>
      <c r="S56" s="6"/>
      <c r="T56" s="6"/>
      <c r="U56" s="6"/>
      <c r="V56" s="6"/>
      <c r="W56" s="6"/>
      <c r="X56" s="6"/>
      <c r="Y56" s="6"/>
      <c r="Z56" s="6"/>
    </row>
    <row r="57">
      <c r="A57" s="37" t="s">
        <v>300</v>
      </c>
      <c r="B57" s="38" t="s">
        <v>210</v>
      </c>
      <c r="C57" s="38" t="s">
        <v>256</v>
      </c>
      <c r="D57" s="38" t="s">
        <v>301</v>
      </c>
      <c r="E57" s="42" t="s">
        <v>266</v>
      </c>
      <c r="F57" s="37" t="s">
        <v>302</v>
      </c>
      <c r="G57" s="40" t="s">
        <v>172</v>
      </c>
      <c r="H57" s="37" t="s">
        <v>23</v>
      </c>
      <c r="I57" s="37" t="s">
        <v>48</v>
      </c>
      <c r="J57" s="37"/>
      <c r="K57" s="38" t="s">
        <v>26</v>
      </c>
      <c r="L57" s="41">
        <v>46164.0</v>
      </c>
      <c r="M57" s="12"/>
      <c r="N57" s="12"/>
      <c r="O57" s="13" t="s">
        <v>303</v>
      </c>
      <c r="P57" s="14"/>
      <c r="Q57" s="6"/>
      <c r="R57" s="6"/>
      <c r="S57" s="6"/>
      <c r="T57" s="6"/>
      <c r="U57" s="6"/>
      <c r="V57" s="6"/>
      <c r="W57" s="6"/>
      <c r="X57" s="6"/>
      <c r="Y57" s="6"/>
      <c r="Z57" s="6"/>
    </row>
    <row r="58">
      <c r="A58" s="37" t="s">
        <v>304</v>
      </c>
      <c r="B58" s="38" t="s">
        <v>210</v>
      </c>
      <c r="C58" s="38" t="s">
        <v>305</v>
      </c>
      <c r="D58" s="38" t="s">
        <v>306</v>
      </c>
      <c r="E58" s="42" t="s">
        <v>307</v>
      </c>
      <c r="F58" s="38" t="s">
        <v>308</v>
      </c>
      <c r="G58" s="40" t="s">
        <v>22</v>
      </c>
      <c r="H58" s="37" t="s">
        <v>23</v>
      </c>
      <c r="I58" s="37" t="s">
        <v>48</v>
      </c>
      <c r="J58" s="37"/>
      <c r="K58" s="38" t="s">
        <v>26</v>
      </c>
      <c r="L58" s="41">
        <v>46164.0</v>
      </c>
      <c r="M58" s="12"/>
      <c r="N58" s="12"/>
      <c r="O58" s="13"/>
      <c r="P58" s="14"/>
      <c r="Q58" s="6"/>
      <c r="R58" s="6"/>
      <c r="S58" s="6"/>
      <c r="T58" s="6"/>
      <c r="U58" s="6"/>
      <c r="V58" s="6"/>
      <c r="W58" s="6"/>
      <c r="X58" s="6"/>
      <c r="Y58" s="6"/>
      <c r="Z58" s="6"/>
    </row>
    <row r="59">
      <c r="A59" s="37" t="s">
        <v>309</v>
      </c>
      <c r="B59" s="38" t="s">
        <v>210</v>
      </c>
      <c r="C59" s="38" t="s">
        <v>305</v>
      </c>
      <c r="D59" s="38" t="s">
        <v>310</v>
      </c>
      <c r="E59" s="42" t="s">
        <v>311</v>
      </c>
      <c r="F59" s="38" t="s">
        <v>312</v>
      </c>
      <c r="G59" s="40" t="s">
        <v>22</v>
      </c>
      <c r="H59" s="37" t="s">
        <v>23</v>
      </c>
      <c r="I59" s="37" t="s">
        <v>48</v>
      </c>
      <c r="J59" s="37"/>
      <c r="K59" s="38" t="s">
        <v>26</v>
      </c>
      <c r="L59" s="41">
        <v>46164.0</v>
      </c>
      <c r="M59" s="12"/>
      <c r="N59" s="12"/>
      <c r="O59" s="13"/>
      <c r="P59" s="14"/>
      <c r="Q59" s="6"/>
      <c r="R59" s="6"/>
      <c r="S59" s="6"/>
      <c r="T59" s="6"/>
      <c r="U59" s="6"/>
      <c r="V59" s="6"/>
      <c r="W59" s="6"/>
      <c r="X59" s="6"/>
      <c r="Y59" s="6"/>
      <c r="Z59" s="6"/>
    </row>
    <row r="60">
      <c r="A60" s="46" t="s">
        <v>313</v>
      </c>
      <c r="B60" s="47" t="s">
        <v>210</v>
      </c>
      <c r="C60" s="47" t="s">
        <v>305</v>
      </c>
      <c r="D60" s="47" t="s">
        <v>314</v>
      </c>
      <c r="E60" s="48" t="s">
        <v>315</v>
      </c>
      <c r="F60" s="47" t="s">
        <v>316</v>
      </c>
      <c r="G60" s="49" t="s">
        <v>22</v>
      </c>
      <c r="H60" s="46" t="s">
        <v>47</v>
      </c>
      <c r="I60" s="46" t="s">
        <v>48</v>
      </c>
      <c r="J60" s="46"/>
      <c r="K60" s="47" t="s">
        <v>317</v>
      </c>
      <c r="L60" s="50">
        <v>46164.0</v>
      </c>
      <c r="M60" s="51"/>
      <c r="N60" s="12"/>
      <c r="O60" s="13"/>
      <c r="P60" s="14"/>
      <c r="Q60" s="6"/>
      <c r="R60" s="6"/>
      <c r="S60" s="6"/>
      <c r="T60" s="6"/>
      <c r="U60" s="6"/>
      <c r="V60" s="6"/>
      <c r="W60" s="6"/>
      <c r="X60" s="6"/>
      <c r="Y60" s="6"/>
      <c r="Z60" s="6"/>
    </row>
    <row r="61">
      <c r="A61" s="46" t="s">
        <v>318</v>
      </c>
      <c r="B61" s="47" t="s">
        <v>319</v>
      </c>
      <c r="C61" s="47" t="s">
        <v>320</v>
      </c>
      <c r="D61" s="47" t="s">
        <v>321</v>
      </c>
      <c r="E61" s="48" t="s">
        <v>322</v>
      </c>
      <c r="F61" s="47" t="s">
        <v>323</v>
      </c>
      <c r="G61" s="49" t="s">
        <v>22</v>
      </c>
      <c r="H61" s="46" t="s">
        <v>47</v>
      </c>
      <c r="I61" s="46" t="s">
        <v>48</v>
      </c>
      <c r="J61" s="46"/>
      <c r="K61" s="47" t="s">
        <v>324</v>
      </c>
      <c r="L61" s="50">
        <v>46164.0</v>
      </c>
      <c r="M61" s="51"/>
      <c r="N61" s="12"/>
      <c r="O61" s="13" t="s">
        <v>325</v>
      </c>
      <c r="P61" s="14"/>
      <c r="Q61" s="6"/>
      <c r="R61" s="6"/>
      <c r="S61" s="6"/>
      <c r="T61" s="6"/>
      <c r="U61" s="6"/>
      <c r="V61" s="6"/>
      <c r="W61" s="6"/>
      <c r="X61" s="6"/>
      <c r="Y61" s="6"/>
      <c r="Z61" s="6"/>
    </row>
    <row r="62">
      <c r="A62" s="46" t="s">
        <v>326</v>
      </c>
      <c r="B62" s="47" t="s">
        <v>319</v>
      </c>
      <c r="C62" s="47" t="s">
        <v>327</v>
      </c>
      <c r="D62" s="47" t="s">
        <v>328</v>
      </c>
      <c r="E62" s="48" t="s">
        <v>329</v>
      </c>
      <c r="F62" s="47" t="s">
        <v>330</v>
      </c>
      <c r="G62" s="49" t="s">
        <v>22</v>
      </c>
      <c r="H62" s="46" t="s">
        <v>47</v>
      </c>
      <c r="I62" s="46" t="s">
        <v>48</v>
      </c>
      <c r="J62" s="46"/>
      <c r="K62" s="47" t="s">
        <v>324</v>
      </c>
      <c r="L62" s="50">
        <v>46164.0</v>
      </c>
      <c r="M62" s="51"/>
      <c r="N62" s="12"/>
      <c r="O62" s="13" t="s">
        <v>325</v>
      </c>
      <c r="P62" s="14"/>
      <c r="Q62" s="6"/>
      <c r="R62" s="6"/>
      <c r="S62" s="6"/>
      <c r="T62" s="6"/>
      <c r="U62" s="6"/>
      <c r="V62" s="6"/>
      <c r="W62" s="6"/>
      <c r="X62" s="6"/>
      <c r="Y62" s="6"/>
      <c r="Z62" s="6"/>
    </row>
    <row r="63">
      <c r="A63" s="46" t="s">
        <v>331</v>
      </c>
      <c r="B63" s="47" t="s">
        <v>319</v>
      </c>
      <c r="C63" s="47" t="s">
        <v>327</v>
      </c>
      <c r="D63" s="47" t="s">
        <v>332</v>
      </c>
      <c r="E63" s="48" t="s">
        <v>181</v>
      </c>
      <c r="F63" s="47" t="s">
        <v>333</v>
      </c>
      <c r="G63" s="49" t="s">
        <v>96</v>
      </c>
      <c r="H63" s="46" t="s">
        <v>47</v>
      </c>
      <c r="I63" s="46" t="s">
        <v>48</v>
      </c>
      <c r="J63" s="47"/>
      <c r="K63" s="47" t="s">
        <v>334</v>
      </c>
      <c r="L63" s="50">
        <v>46164.0</v>
      </c>
      <c r="M63" s="51"/>
      <c r="N63" s="12"/>
      <c r="O63" s="13" t="s">
        <v>335</v>
      </c>
      <c r="P63" s="14"/>
      <c r="Q63" s="6"/>
      <c r="R63" s="6"/>
      <c r="S63" s="6"/>
      <c r="T63" s="6"/>
      <c r="U63" s="6"/>
      <c r="V63" s="6"/>
      <c r="W63" s="6"/>
      <c r="X63" s="6"/>
      <c r="Y63" s="6"/>
      <c r="Z63" s="6"/>
    </row>
    <row r="64">
      <c r="A64" s="46" t="s">
        <v>336</v>
      </c>
      <c r="B64" s="47" t="s">
        <v>319</v>
      </c>
      <c r="C64" s="47" t="s">
        <v>337</v>
      </c>
      <c r="D64" s="47" t="s">
        <v>338</v>
      </c>
      <c r="E64" s="48" t="s">
        <v>187</v>
      </c>
      <c r="F64" s="47" t="s">
        <v>339</v>
      </c>
      <c r="G64" s="49" t="s">
        <v>22</v>
      </c>
      <c r="H64" s="46" t="s">
        <v>23</v>
      </c>
      <c r="I64" s="46" t="s">
        <v>48</v>
      </c>
      <c r="J64" s="47"/>
      <c r="K64" s="47" t="s">
        <v>26</v>
      </c>
      <c r="L64" s="50">
        <v>46164.0</v>
      </c>
      <c r="M64" s="51"/>
      <c r="N64" s="12"/>
      <c r="O64" s="13" t="s">
        <v>325</v>
      </c>
      <c r="P64" s="14"/>
      <c r="Q64" s="6"/>
      <c r="R64" s="6"/>
      <c r="S64" s="6"/>
      <c r="T64" s="6"/>
      <c r="U64" s="6"/>
      <c r="V64" s="6"/>
      <c r="W64" s="6"/>
      <c r="X64" s="6"/>
      <c r="Y64" s="6"/>
      <c r="Z64" s="6"/>
    </row>
    <row r="65">
      <c r="A65" s="46" t="s">
        <v>340</v>
      </c>
      <c r="B65" s="47" t="s">
        <v>319</v>
      </c>
      <c r="C65" s="47" t="s">
        <v>337</v>
      </c>
      <c r="D65" s="47" t="s">
        <v>341</v>
      </c>
      <c r="E65" s="48" t="s">
        <v>20</v>
      </c>
      <c r="F65" s="47" t="s">
        <v>342</v>
      </c>
      <c r="G65" s="49" t="s">
        <v>22</v>
      </c>
      <c r="H65" s="46" t="s">
        <v>47</v>
      </c>
      <c r="I65" s="46" t="s">
        <v>48</v>
      </c>
      <c r="J65" s="46"/>
      <c r="K65" s="47" t="s">
        <v>343</v>
      </c>
      <c r="L65" s="50">
        <v>46164.0</v>
      </c>
      <c r="M65" s="51"/>
      <c r="N65" s="12"/>
      <c r="O65" s="13" t="s">
        <v>325</v>
      </c>
      <c r="P65" s="14"/>
      <c r="Q65" s="6"/>
      <c r="R65" s="6"/>
      <c r="S65" s="6"/>
      <c r="T65" s="6"/>
      <c r="U65" s="6"/>
      <c r="V65" s="6"/>
      <c r="W65" s="6"/>
      <c r="X65" s="6"/>
      <c r="Y65" s="6"/>
      <c r="Z65" s="6"/>
    </row>
    <row r="66">
      <c r="A66" s="46" t="s">
        <v>344</v>
      </c>
      <c r="B66" s="47" t="s">
        <v>319</v>
      </c>
      <c r="C66" s="47" t="s">
        <v>337</v>
      </c>
      <c r="D66" s="47" t="s">
        <v>345</v>
      </c>
      <c r="E66" s="52" t="s">
        <v>158</v>
      </c>
      <c r="F66" s="47" t="s">
        <v>346</v>
      </c>
      <c r="G66" s="49" t="s">
        <v>22</v>
      </c>
      <c r="H66" s="46" t="s">
        <v>47</v>
      </c>
      <c r="I66" s="46" t="s">
        <v>48</v>
      </c>
      <c r="J66" s="46"/>
      <c r="K66" s="47" t="s">
        <v>347</v>
      </c>
      <c r="L66" s="50">
        <v>46164.0</v>
      </c>
      <c r="M66" s="51"/>
      <c r="N66" s="12"/>
      <c r="O66" s="13" t="s">
        <v>348</v>
      </c>
      <c r="P66" s="14"/>
      <c r="Q66" s="6"/>
      <c r="R66" s="6"/>
      <c r="S66" s="6"/>
      <c r="T66" s="6"/>
      <c r="U66" s="6"/>
      <c r="V66" s="6"/>
      <c r="W66" s="6"/>
      <c r="X66" s="6"/>
      <c r="Y66" s="6"/>
      <c r="Z66" s="6"/>
    </row>
    <row r="67">
      <c r="A67" s="46" t="s">
        <v>349</v>
      </c>
      <c r="B67" s="47" t="s">
        <v>319</v>
      </c>
      <c r="C67" s="47" t="s">
        <v>350</v>
      </c>
      <c r="D67" s="47" t="s">
        <v>351</v>
      </c>
      <c r="E67" s="48" t="s">
        <v>352</v>
      </c>
      <c r="F67" s="47" t="s">
        <v>353</v>
      </c>
      <c r="G67" s="49" t="s">
        <v>96</v>
      </c>
      <c r="H67" s="46" t="s">
        <v>83</v>
      </c>
      <c r="I67" s="46" t="s">
        <v>160</v>
      </c>
      <c r="J67" s="46"/>
      <c r="K67" s="47" t="s">
        <v>354</v>
      </c>
      <c r="L67" s="50">
        <v>46164.0</v>
      </c>
      <c r="M67" s="51"/>
      <c r="N67" s="12"/>
      <c r="O67" s="13" t="s">
        <v>325</v>
      </c>
      <c r="P67" s="14"/>
      <c r="Q67" s="6"/>
      <c r="R67" s="6"/>
      <c r="S67" s="6"/>
      <c r="T67" s="6"/>
      <c r="U67" s="6"/>
      <c r="V67" s="6"/>
      <c r="W67" s="6"/>
      <c r="X67" s="6"/>
      <c r="Y67" s="6"/>
      <c r="Z67" s="6"/>
    </row>
    <row r="68">
      <c r="A68" s="53" t="s">
        <v>355</v>
      </c>
      <c r="B68" s="54" t="s">
        <v>319</v>
      </c>
      <c r="C68" s="54" t="s">
        <v>350</v>
      </c>
      <c r="D68" s="54" t="s">
        <v>356</v>
      </c>
      <c r="E68" s="55" t="s">
        <v>352</v>
      </c>
      <c r="F68" s="54" t="s">
        <v>357</v>
      </c>
      <c r="G68" s="56" t="s">
        <v>96</v>
      </c>
      <c r="H68" s="53" t="s">
        <v>83</v>
      </c>
      <c r="I68" s="53" t="s">
        <v>160</v>
      </c>
      <c r="J68" s="53"/>
      <c r="K68" s="54" t="s">
        <v>358</v>
      </c>
      <c r="L68" s="57">
        <v>46164.0</v>
      </c>
      <c r="M68" s="12"/>
      <c r="N68" s="12"/>
      <c r="O68" s="13" t="s">
        <v>325</v>
      </c>
      <c r="P68" s="14"/>
      <c r="Q68" s="6"/>
      <c r="R68" s="6"/>
      <c r="S68" s="6"/>
      <c r="T68" s="6"/>
      <c r="U68" s="6"/>
      <c r="V68" s="6"/>
      <c r="W68" s="6"/>
      <c r="X68" s="6"/>
      <c r="Y68" s="6"/>
      <c r="Z68" s="6"/>
    </row>
    <row r="69">
      <c r="A69" s="53" t="s">
        <v>359</v>
      </c>
      <c r="B69" s="54" t="s">
        <v>360</v>
      </c>
      <c r="C69" s="54" t="s">
        <v>361</v>
      </c>
      <c r="D69" s="54" t="s">
        <v>362</v>
      </c>
      <c r="E69" s="55" t="s">
        <v>363</v>
      </c>
      <c r="F69" s="54" t="s">
        <v>364</v>
      </c>
      <c r="G69" s="58" t="s">
        <v>96</v>
      </c>
      <c r="H69" s="53" t="s">
        <v>83</v>
      </c>
      <c r="I69" s="53" t="s">
        <v>365</v>
      </c>
      <c r="J69" s="53" t="s">
        <v>365</v>
      </c>
      <c r="K69" s="54" t="s">
        <v>366</v>
      </c>
      <c r="L69" s="57">
        <v>46164.0</v>
      </c>
      <c r="M69" s="12"/>
      <c r="N69" s="12"/>
      <c r="O69" s="13"/>
      <c r="P69" s="14"/>
      <c r="Q69" s="6"/>
      <c r="R69" s="6"/>
      <c r="S69" s="6"/>
      <c r="T69" s="6"/>
      <c r="U69" s="6"/>
      <c r="V69" s="6"/>
      <c r="W69" s="6"/>
      <c r="X69" s="6"/>
      <c r="Y69" s="6"/>
      <c r="Z69" s="6"/>
    </row>
    <row r="70">
      <c r="A70" s="53" t="s">
        <v>367</v>
      </c>
      <c r="B70" s="54" t="s">
        <v>360</v>
      </c>
      <c r="C70" s="54" t="s">
        <v>368</v>
      </c>
      <c r="D70" s="54" t="s">
        <v>369</v>
      </c>
      <c r="E70" s="55" t="s">
        <v>370</v>
      </c>
      <c r="F70" s="54" t="s">
        <v>371</v>
      </c>
      <c r="G70" s="58" t="s">
        <v>96</v>
      </c>
      <c r="H70" s="53" t="s">
        <v>372</v>
      </c>
      <c r="I70" s="53" t="s">
        <v>373</v>
      </c>
      <c r="J70" s="53" t="s">
        <v>374</v>
      </c>
      <c r="K70" s="54" t="s">
        <v>375</v>
      </c>
      <c r="L70" s="57">
        <v>46164.0</v>
      </c>
      <c r="M70" s="12"/>
      <c r="N70" s="12"/>
      <c r="O70" s="13"/>
      <c r="P70" s="14"/>
      <c r="Q70" s="6"/>
      <c r="R70" s="6"/>
      <c r="S70" s="6"/>
      <c r="T70" s="6"/>
      <c r="U70" s="6"/>
      <c r="V70" s="6"/>
      <c r="W70" s="6"/>
      <c r="X70" s="6"/>
      <c r="Y70" s="6"/>
      <c r="Z70" s="6"/>
    </row>
    <row r="71">
      <c r="A71" s="53" t="s">
        <v>376</v>
      </c>
      <c r="B71" s="54" t="s">
        <v>360</v>
      </c>
      <c r="C71" s="54" t="s">
        <v>368</v>
      </c>
      <c r="D71" s="54" t="s">
        <v>377</v>
      </c>
      <c r="E71" s="59" t="s">
        <v>20</v>
      </c>
      <c r="F71" s="54" t="s">
        <v>378</v>
      </c>
      <c r="G71" s="58" t="s">
        <v>96</v>
      </c>
      <c r="H71" s="53" t="s">
        <v>47</v>
      </c>
      <c r="I71" s="53" t="s">
        <v>379</v>
      </c>
      <c r="J71" s="53" t="s">
        <v>374</v>
      </c>
      <c r="K71" s="54" t="s">
        <v>380</v>
      </c>
      <c r="L71" s="57">
        <v>46164.0</v>
      </c>
      <c r="M71" s="12"/>
      <c r="N71" s="12"/>
      <c r="O71" s="13"/>
      <c r="P71" s="14"/>
      <c r="Q71" s="6"/>
      <c r="R71" s="6"/>
      <c r="S71" s="6"/>
      <c r="T71" s="6"/>
      <c r="U71" s="6"/>
      <c r="V71" s="6"/>
      <c r="W71" s="6"/>
      <c r="X71" s="6"/>
      <c r="Y71" s="6"/>
      <c r="Z71" s="6"/>
    </row>
    <row r="72">
      <c r="A72" s="53" t="s">
        <v>381</v>
      </c>
      <c r="B72" s="54" t="s">
        <v>360</v>
      </c>
      <c r="C72" s="54" t="s">
        <v>382</v>
      </c>
      <c r="D72" s="54" t="s">
        <v>383</v>
      </c>
      <c r="E72" s="59" t="s">
        <v>384</v>
      </c>
      <c r="F72" s="54" t="s">
        <v>385</v>
      </c>
      <c r="G72" s="58" t="s">
        <v>172</v>
      </c>
      <c r="H72" s="53" t="s">
        <v>47</v>
      </c>
      <c r="I72" s="53" t="s">
        <v>365</v>
      </c>
      <c r="J72" s="53" t="s">
        <v>365</v>
      </c>
      <c r="K72" s="54" t="s">
        <v>386</v>
      </c>
      <c r="L72" s="57">
        <v>46164.0</v>
      </c>
      <c r="M72" s="12"/>
      <c r="N72" s="12"/>
      <c r="O72" s="13"/>
      <c r="P72" s="14"/>
      <c r="Q72" s="6"/>
      <c r="R72" s="6"/>
      <c r="S72" s="6"/>
      <c r="T72" s="6"/>
      <c r="U72" s="6"/>
      <c r="V72" s="6"/>
      <c r="W72" s="6"/>
      <c r="X72" s="6"/>
      <c r="Y72" s="6"/>
      <c r="Z72" s="6"/>
    </row>
    <row r="73">
      <c r="A73" s="53" t="s">
        <v>387</v>
      </c>
      <c r="B73" s="54" t="s">
        <v>360</v>
      </c>
      <c r="C73" s="54" t="s">
        <v>382</v>
      </c>
      <c r="D73" s="54" t="s">
        <v>388</v>
      </c>
      <c r="E73" s="55" t="s">
        <v>389</v>
      </c>
      <c r="F73" s="54" t="s">
        <v>390</v>
      </c>
      <c r="G73" s="58" t="s">
        <v>172</v>
      </c>
      <c r="H73" s="53" t="s">
        <v>47</v>
      </c>
      <c r="I73" s="53" t="s">
        <v>365</v>
      </c>
      <c r="J73" s="53" t="s">
        <v>365</v>
      </c>
      <c r="K73" s="54" t="s">
        <v>391</v>
      </c>
      <c r="L73" s="57">
        <v>46164.0</v>
      </c>
      <c r="M73" s="12"/>
      <c r="N73" s="12"/>
      <c r="O73" s="13"/>
      <c r="P73" s="14"/>
      <c r="Q73" s="6"/>
      <c r="R73" s="6"/>
      <c r="S73" s="6"/>
      <c r="T73" s="6"/>
      <c r="U73" s="6"/>
      <c r="V73" s="6"/>
      <c r="W73" s="6"/>
      <c r="X73" s="6"/>
      <c r="Y73" s="6"/>
      <c r="Z73" s="6"/>
    </row>
    <row r="74">
      <c r="A74" s="53" t="s">
        <v>392</v>
      </c>
      <c r="B74" s="54" t="s">
        <v>360</v>
      </c>
      <c r="C74" s="54" t="s">
        <v>393</v>
      </c>
      <c r="D74" s="54" t="s">
        <v>394</v>
      </c>
      <c r="E74" s="55" t="s">
        <v>395</v>
      </c>
      <c r="F74" s="54" t="s">
        <v>396</v>
      </c>
      <c r="G74" s="58" t="s">
        <v>172</v>
      </c>
      <c r="H74" s="53" t="s">
        <v>47</v>
      </c>
      <c r="I74" s="53" t="s">
        <v>365</v>
      </c>
      <c r="J74" s="53" t="s">
        <v>365</v>
      </c>
      <c r="K74" s="54" t="s">
        <v>397</v>
      </c>
      <c r="L74" s="57">
        <v>46164.0</v>
      </c>
      <c r="M74" s="12"/>
      <c r="N74" s="12"/>
      <c r="O74" s="13"/>
      <c r="P74" s="14"/>
      <c r="Q74" s="6"/>
      <c r="R74" s="6"/>
      <c r="S74" s="6"/>
      <c r="T74" s="6"/>
      <c r="U74" s="6"/>
      <c r="V74" s="6"/>
      <c r="W74" s="6"/>
      <c r="X74" s="6"/>
      <c r="Y74" s="6"/>
      <c r="Z74" s="6"/>
    </row>
    <row r="75">
      <c r="A75" s="53" t="s">
        <v>398</v>
      </c>
      <c r="B75" s="54" t="s">
        <v>360</v>
      </c>
      <c r="C75" s="54" t="s">
        <v>393</v>
      </c>
      <c r="D75" s="54" t="s">
        <v>399</v>
      </c>
      <c r="E75" s="55" t="s">
        <v>400</v>
      </c>
      <c r="F75" s="54" t="s">
        <v>401</v>
      </c>
      <c r="G75" s="58" t="s">
        <v>172</v>
      </c>
      <c r="H75" s="53" t="s">
        <v>83</v>
      </c>
      <c r="I75" s="53" t="s">
        <v>365</v>
      </c>
      <c r="J75" s="53" t="s">
        <v>365</v>
      </c>
      <c r="K75" s="54" t="s">
        <v>402</v>
      </c>
      <c r="L75" s="57">
        <v>46164.0</v>
      </c>
      <c r="M75" s="12"/>
      <c r="N75" s="12"/>
      <c r="O75" s="13"/>
      <c r="P75" s="14"/>
      <c r="Q75" s="6"/>
      <c r="R75" s="6"/>
      <c r="S75" s="6"/>
      <c r="T75" s="6"/>
      <c r="U75" s="6"/>
      <c r="V75" s="6"/>
      <c r="W75" s="6"/>
      <c r="X75" s="6"/>
      <c r="Y75" s="6"/>
      <c r="Z75" s="6"/>
    </row>
    <row r="76">
      <c r="A76" s="53" t="s">
        <v>403</v>
      </c>
      <c r="B76" s="54" t="s">
        <v>360</v>
      </c>
      <c r="C76" s="54" t="s">
        <v>393</v>
      </c>
      <c r="D76" s="54" t="s">
        <v>404</v>
      </c>
      <c r="E76" s="59" t="s">
        <v>405</v>
      </c>
      <c r="F76" s="54" t="s">
        <v>406</v>
      </c>
      <c r="G76" s="58" t="s">
        <v>172</v>
      </c>
      <c r="H76" s="53" t="s">
        <v>83</v>
      </c>
      <c r="I76" s="53" t="s">
        <v>365</v>
      </c>
      <c r="J76" s="53" t="s">
        <v>365</v>
      </c>
      <c r="K76" s="54" t="s">
        <v>407</v>
      </c>
      <c r="L76" s="57">
        <v>46164.0</v>
      </c>
      <c r="M76" s="12"/>
      <c r="N76" s="12"/>
      <c r="O76" s="13"/>
      <c r="P76" s="14"/>
      <c r="Q76" s="6"/>
      <c r="R76" s="6"/>
      <c r="S76" s="6"/>
      <c r="T76" s="6"/>
      <c r="U76" s="6"/>
      <c r="V76" s="6"/>
      <c r="W76" s="6"/>
      <c r="X76" s="6"/>
      <c r="Y76" s="6"/>
      <c r="Z76" s="6"/>
    </row>
    <row r="77">
      <c r="A77" s="53" t="s">
        <v>408</v>
      </c>
      <c r="B77" s="54" t="s">
        <v>360</v>
      </c>
      <c r="C77" s="54" t="s">
        <v>393</v>
      </c>
      <c r="D77" s="54" t="s">
        <v>409</v>
      </c>
      <c r="E77" s="55" t="s">
        <v>410</v>
      </c>
      <c r="F77" s="54" t="s">
        <v>411</v>
      </c>
      <c r="G77" s="58" t="s">
        <v>172</v>
      </c>
      <c r="H77" s="53" t="s">
        <v>83</v>
      </c>
      <c r="I77" s="53" t="s">
        <v>365</v>
      </c>
      <c r="J77" s="53" t="s">
        <v>365</v>
      </c>
      <c r="K77" s="54" t="s">
        <v>412</v>
      </c>
      <c r="L77" s="57">
        <v>46164.0</v>
      </c>
      <c r="M77" s="12"/>
      <c r="N77" s="12"/>
      <c r="O77" s="13"/>
      <c r="P77" s="14"/>
      <c r="Q77" s="6"/>
      <c r="R77" s="6"/>
      <c r="S77" s="6"/>
      <c r="T77" s="6"/>
      <c r="U77" s="6"/>
      <c r="V77" s="6"/>
      <c r="W77" s="6"/>
      <c r="X77" s="6"/>
      <c r="Y77" s="6"/>
      <c r="Z77" s="6"/>
    </row>
    <row r="78">
      <c r="A78" s="53" t="s">
        <v>413</v>
      </c>
      <c r="B78" s="54" t="s">
        <v>360</v>
      </c>
      <c r="C78" s="54" t="s">
        <v>361</v>
      </c>
      <c r="D78" s="54" t="s">
        <v>414</v>
      </c>
      <c r="E78" s="55" t="s">
        <v>415</v>
      </c>
      <c r="F78" s="54" t="s">
        <v>416</v>
      </c>
      <c r="G78" s="58" t="s">
        <v>172</v>
      </c>
      <c r="H78" s="53" t="s">
        <v>83</v>
      </c>
      <c r="I78" s="53" t="s">
        <v>365</v>
      </c>
      <c r="J78" s="53" t="s">
        <v>365</v>
      </c>
      <c r="K78" s="54" t="s">
        <v>417</v>
      </c>
      <c r="L78" s="57">
        <v>46164.0</v>
      </c>
      <c r="M78" s="12"/>
      <c r="N78" s="12"/>
      <c r="O78" s="13"/>
      <c r="P78" s="14"/>
      <c r="Q78" s="6"/>
      <c r="R78" s="6"/>
      <c r="S78" s="6"/>
      <c r="T78" s="6"/>
      <c r="U78" s="6"/>
      <c r="V78" s="6"/>
      <c r="W78" s="6"/>
      <c r="X78" s="6"/>
      <c r="Y78" s="6"/>
      <c r="Z78" s="6"/>
    </row>
    <row r="79">
      <c r="A79" s="53" t="s">
        <v>418</v>
      </c>
      <c r="B79" s="54" t="s">
        <v>360</v>
      </c>
      <c r="C79" s="54" t="s">
        <v>361</v>
      </c>
      <c r="D79" s="54" t="s">
        <v>419</v>
      </c>
      <c r="E79" s="55" t="s">
        <v>415</v>
      </c>
      <c r="F79" s="54" t="s">
        <v>420</v>
      </c>
      <c r="G79" s="56" t="s">
        <v>172</v>
      </c>
      <c r="H79" s="53" t="s">
        <v>83</v>
      </c>
      <c r="I79" s="53" t="s">
        <v>365</v>
      </c>
      <c r="J79" s="53" t="s">
        <v>365</v>
      </c>
      <c r="K79" s="54" t="s">
        <v>421</v>
      </c>
      <c r="L79" s="57">
        <v>46164.0</v>
      </c>
      <c r="M79" s="12"/>
      <c r="N79" s="12"/>
      <c r="O79" s="13"/>
      <c r="P79" s="14"/>
      <c r="Q79" s="6"/>
      <c r="R79" s="6"/>
      <c r="S79" s="6"/>
      <c r="T79" s="6"/>
      <c r="U79" s="6"/>
      <c r="V79" s="6"/>
      <c r="W79" s="6"/>
      <c r="X79" s="6"/>
      <c r="Y79" s="6"/>
      <c r="Z79" s="6"/>
    </row>
    <row r="80">
      <c r="A80" s="53" t="s">
        <v>422</v>
      </c>
      <c r="B80" s="54" t="s">
        <v>360</v>
      </c>
      <c r="C80" s="54" t="s">
        <v>423</v>
      </c>
      <c r="D80" s="54" t="s">
        <v>424</v>
      </c>
      <c r="E80" s="55" t="s">
        <v>425</v>
      </c>
      <c r="F80" s="54" t="s">
        <v>426</v>
      </c>
      <c r="G80" s="56" t="s">
        <v>172</v>
      </c>
      <c r="H80" s="53" t="s">
        <v>83</v>
      </c>
      <c r="I80" s="54" t="s">
        <v>365</v>
      </c>
      <c r="J80" s="54" t="s">
        <v>365</v>
      </c>
      <c r="K80" s="54" t="s">
        <v>427</v>
      </c>
      <c r="L80" s="57">
        <v>46164.0</v>
      </c>
      <c r="M80" s="12"/>
      <c r="N80" s="12"/>
      <c r="O80" s="13"/>
      <c r="P80" s="14"/>
      <c r="Q80" s="6"/>
      <c r="R80" s="6"/>
      <c r="S80" s="6"/>
      <c r="T80" s="6"/>
      <c r="U80" s="6"/>
      <c r="V80" s="6"/>
      <c r="W80" s="6"/>
      <c r="X80" s="6"/>
      <c r="Y80" s="6"/>
      <c r="Z80" s="6"/>
    </row>
    <row r="81">
      <c r="A81" s="53" t="s">
        <v>428</v>
      </c>
      <c r="B81" s="54" t="s">
        <v>360</v>
      </c>
      <c r="C81" s="54" t="s">
        <v>429</v>
      </c>
      <c r="D81" s="54" t="s">
        <v>430</v>
      </c>
      <c r="E81" s="59" t="s">
        <v>431</v>
      </c>
      <c r="F81" s="54" t="s">
        <v>432</v>
      </c>
      <c r="G81" s="56" t="s">
        <v>96</v>
      </c>
      <c r="H81" s="53" t="s">
        <v>83</v>
      </c>
      <c r="I81" s="54" t="s">
        <v>365</v>
      </c>
      <c r="J81" s="54" t="s">
        <v>365</v>
      </c>
      <c r="K81" s="53" t="s">
        <v>433</v>
      </c>
      <c r="L81" s="60">
        <v>46164.0</v>
      </c>
      <c r="M81" s="12"/>
      <c r="N81" s="12"/>
      <c r="O81" s="13"/>
      <c r="P81" s="14"/>
      <c r="Q81" s="6"/>
      <c r="R81" s="6"/>
      <c r="S81" s="6"/>
      <c r="T81" s="6"/>
      <c r="U81" s="6"/>
      <c r="V81" s="6"/>
      <c r="W81" s="6"/>
      <c r="X81" s="6"/>
      <c r="Y81" s="6"/>
      <c r="Z81" s="6"/>
    </row>
    <row r="82">
      <c r="A82" s="53" t="s">
        <v>434</v>
      </c>
      <c r="B82" s="54" t="s">
        <v>360</v>
      </c>
      <c r="C82" s="54" t="s">
        <v>435</v>
      </c>
      <c r="D82" s="54" t="s">
        <v>436</v>
      </c>
      <c r="E82" s="55" t="s">
        <v>437</v>
      </c>
      <c r="F82" s="54" t="s">
        <v>438</v>
      </c>
      <c r="G82" s="56" t="s">
        <v>172</v>
      </c>
      <c r="H82" s="53" t="s">
        <v>83</v>
      </c>
      <c r="I82" s="53" t="s">
        <v>365</v>
      </c>
      <c r="J82" s="53" t="s">
        <v>365</v>
      </c>
      <c r="K82" s="54" t="s">
        <v>439</v>
      </c>
      <c r="L82" s="57">
        <v>46164.0</v>
      </c>
      <c r="M82" s="12"/>
      <c r="N82" s="12"/>
      <c r="O82" s="13"/>
      <c r="P82" s="14"/>
      <c r="Q82" s="6"/>
      <c r="R82" s="6"/>
      <c r="S82" s="6"/>
      <c r="T82" s="6"/>
      <c r="U82" s="6"/>
      <c r="V82" s="6"/>
      <c r="W82" s="6"/>
      <c r="X82" s="6"/>
      <c r="Y82" s="6"/>
      <c r="Z82" s="6"/>
    </row>
    <row r="83" ht="14.25" customHeight="1">
      <c r="A83" s="6"/>
      <c r="B83" s="6"/>
      <c r="C83" s="6"/>
      <c r="D83" s="6"/>
      <c r="E83" s="6"/>
      <c r="F83" s="6"/>
      <c r="G83" s="61"/>
      <c r="H83" s="6"/>
      <c r="I83" s="6"/>
      <c r="J83" s="6"/>
      <c r="K83" s="6"/>
      <c r="L83" s="6"/>
      <c r="M83" s="6"/>
      <c r="N83" s="6"/>
      <c r="O83" s="6"/>
      <c r="P83" s="6"/>
      <c r="Q83" s="6"/>
      <c r="R83" s="6"/>
      <c r="S83" s="6"/>
      <c r="T83" s="6"/>
      <c r="U83" s="6"/>
      <c r="V83" s="6"/>
      <c r="W83" s="6"/>
      <c r="X83" s="6"/>
      <c r="Y83" s="6"/>
      <c r="Z83" s="6"/>
    </row>
    <row r="84" ht="14.25" customHeight="1">
      <c r="A84" s="6"/>
      <c r="B84" s="6"/>
      <c r="C84" s="6"/>
      <c r="D84" s="6"/>
      <c r="E84" s="6"/>
      <c r="F84" s="6"/>
      <c r="G84" s="61"/>
      <c r="H84" s="6"/>
      <c r="I84" s="6"/>
      <c r="J84" s="6"/>
      <c r="K84" s="6"/>
      <c r="L84" s="6"/>
      <c r="M84" s="6"/>
      <c r="N84" s="6"/>
      <c r="O84" s="6"/>
      <c r="P84" s="6"/>
      <c r="Q84" s="6"/>
      <c r="R84" s="6"/>
      <c r="S84" s="6"/>
      <c r="T84" s="6"/>
      <c r="U84" s="6"/>
      <c r="V84" s="6"/>
      <c r="W84" s="6"/>
      <c r="X84" s="6"/>
      <c r="Y84" s="6"/>
      <c r="Z84" s="6"/>
    </row>
    <row r="85" ht="14.25" customHeight="1">
      <c r="A85" s="6"/>
      <c r="B85" s="6"/>
      <c r="C85" s="6"/>
      <c r="D85" s="6"/>
      <c r="E85" s="6"/>
      <c r="F85" s="6"/>
      <c r="G85" s="61"/>
      <c r="H85" s="6"/>
      <c r="I85" s="6"/>
      <c r="J85" s="6"/>
      <c r="K85" s="6"/>
      <c r="L85" s="6"/>
      <c r="M85" s="6"/>
      <c r="N85" s="6"/>
      <c r="O85" s="6"/>
      <c r="P85" s="6"/>
      <c r="Q85" s="6"/>
      <c r="R85" s="6"/>
      <c r="S85" s="6"/>
      <c r="T85" s="6"/>
      <c r="U85" s="6"/>
      <c r="V85" s="6"/>
      <c r="W85" s="6"/>
      <c r="X85" s="6"/>
      <c r="Y85" s="6"/>
      <c r="Z85" s="6"/>
    </row>
    <row r="86" ht="14.25" customHeight="1">
      <c r="A86" s="6"/>
      <c r="B86" s="6"/>
      <c r="C86" s="6"/>
      <c r="D86" s="6"/>
      <c r="E86" s="6"/>
      <c r="F86" s="6"/>
      <c r="G86" s="61"/>
      <c r="H86" s="6"/>
      <c r="I86" s="6"/>
      <c r="J86" s="6"/>
      <c r="K86" s="6"/>
      <c r="L86" s="6"/>
      <c r="M86" s="6"/>
      <c r="N86" s="6"/>
      <c r="O86" s="6"/>
      <c r="P86" s="6"/>
      <c r="Q86" s="6"/>
      <c r="R86" s="6"/>
      <c r="S86" s="6"/>
      <c r="T86" s="6"/>
      <c r="U86" s="6"/>
      <c r="V86" s="6"/>
      <c r="W86" s="6"/>
      <c r="X86" s="6"/>
      <c r="Y86" s="6"/>
      <c r="Z86" s="6"/>
    </row>
    <row r="87" ht="14.25" customHeight="1">
      <c r="A87" s="6"/>
      <c r="B87" s="6"/>
      <c r="C87" s="6"/>
      <c r="D87" s="6"/>
      <c r="E87" s="6"/>
      <c r="F87" s="6"/>
      <c r="G87" s="61"/>
      <c r="H87" s="6"/>
      <c r="I87" s="6"/>
      <c r="J87" s="6"/>
      <c r="K87" s="6"/>
      <c r="L87" s="6"/>
      <c r="M87" s="6"/>
      <c r="N87" s="6"/>
      <c r="O87" s="6"/>
      <c r="P87" s="6"/>
      <c r="Q87" s="6"/>
      <c r="R87" s="6"/>
      <c r="S87" s="6"/>
      <c r="T87" s="6"/>
      <c r="U87" s="6"/>
      <c r="V87" s="6"/>
      <c r="W87" s="6"/>
      <c r="X87" s="6"/>
      <c r="Y87" s="6"/>
      <c r="Z87" s="6"/>
    </row>
    <row r="88" ht="14.25" customHeight="1">
      <c r="A88" s="6"/>
      <c r="B88" s="6"/>
      <c r="C88" s="6"/>
      <c r="D88" s="6"/>
      <c r="E88" s="6"/>
      <c r="F88" s="6"/>
      <c r="G88" s="61"/>
      <c r="H88" s="6"/>
      <c r="I88" s="6"/>
      <c r="J88" s="6"/>
      <c r="K88" s="6"/>
      <c r="L88" s="6"/>
      <c r="M88" s="6"/>
      <c r="N88" s="6"/>
      <c r="O88" s="6"/>
      <c r="P88" s="6"/>
      <c r="Q88" s="6"/>
      <c r="R88" s="6"/>
      <c r="S88" s="6"/>
      <c r="T88" s="6"/>
      <c r="U88" s="6"/>
      <c r="V88" s="6"/>
      <c r="W88" s="6"/>
      <c r="X88" s="6"/>
      <c r="Y88" s="6"/>
      <c r="Z88" s="6"/>
    </row>
    <row r="89" ht="14.25" customHeight="1">
      <c r="A89" s="6"/>
      <c r="B89" s="6"/>
      <c r="C89" s="6"/>
      <c r="D89" s="6"/>
      <c r="E89" s="6"/>
      <c r="F89" s="6"/>
      <c r="G89" s="61"/>
      <c r="H89" s="6"/>
      <c r="I89" s="6"/>
      <c r="J89" s="6"/>
      <c r="K89" s="6"/>
      <c r="L89" s="6"/>
      <c r="M89" s="6"/>
      <c r="N89" s="6"/>
      <c r="O89" s="6"/>
      <c r="P89" s="6"/>
      <c r="Q89" s="6"/>
      <c r="R89" s="6"/>
      <c r="S89" s="6"/>
      <c r="T89" s="6"/>
      <c r="U89" s="6"/>
      <c r="V89" s="6"/>
      <c r="W89" s="6"/>
      <c r="X89" s="6"/>
      <c r="Y89" s="6"/>
      <c r="Z89" s="6"/>
    </row>
    <row r="90" ht="14.25" customHeight="1">
      <c r="A90" s="6"/>
      <c r="B90" s="6"/>
      <c r="C90" s="6"/>
      <c r="D90" s="6"/>
      <c r="E90" s="6"/>
      <c r="F90" s="6"/>
      <c r="G90" s="61"/>
      <c r="H90" s="6"/>
      <c r="I90" s="6"/>
      <c r="J90" s="6"/>
      <c r="K90" s="6"/>
      <c r="L90" s="6"/>
      <c r="M90" s="6"/>
      <c r="N90" s="6"/>
      <c r="O90" s="6"/>
      <c r="P90" s="6"/>
      <c r="Q90" s="6"/>
      <c r="R90" s="6"/>
      <c r="S90" s="6"/>
      <c r="T90" s="6"/>
      <c r="U90" s="6"/>
      <c r="V90" s="6"/>
      <c r="W90" s="6"/>
      <c r="X90" s="6"/>
      <c r="Y90" s="6"/>
      <c r="Z90" s="6"/>
    </row>
    <row r="91" ht="14.25" customHeight="1">
      <c r="A91" s="6"/>
      <c r="B91" s="6"/>
      <c r="C91" s="6"/>
      <c r="D91" s="6"/>
      <c r="E91" s="6"/>
      <c r="F91" s="6"/>
      <c r="G91" s="61"/>
      <c r="H91" s="6"/>
      <c r="I91" s="6"/>
      <c r="J91" s="6"/>
      <c r="K91" s="6"/>
      <c r="L91" s="6"/>
      <c r="M91" s="6"/>
      <c r="N91" s="6"/>
      <c r="O91" s="6"/>
      <c r="P91" s="6"/>
      <c r="Q91" s="6"/>
      <c r="R91" s="6"/>
      <c r="S91" s="6"/>
      <c r="T91" s="6"/>
      <c r="U91" s="6"/>
      <c r="V91" s="6"/>
      <c r="W91" s="6"/>
      <c r="X91" s="6"/>
      <c r="Y91" s="6"/>
      <c r="Z91" s="6"/>
    </row>
    <row r="92" ht="14.25" customHeight="1">
      <c r="A92" s="6"/>
      <c r="B92" s="6"/>
      <c r="C92" s="6"/>
      <c r="D92" s="6"/>
      <c r="E92" s="6"/>
      <c r="F92" s="6"/>
      <c r="G92" s="61"/>
      <c r="H92" s="6"/>
      <c r="I92" s="6"/>
      <c r="J92" s="6"/>
      <c r="K92" s="6"/>
      <c r="L92" s="6"/>
      <c r="M92" s="6"/>
      <c r="N92" s="6"/>
      <c r="O92" s="6"/>
      <c r="P92" s="6"/>
      <c r="Q92" s="6"/>
      <c r="R92" s="6"/>
      <c r="S92" s="6"/>
      <c r="T92" s="6"/>
      <c r="U92" s="6"/>
      <c r="V92" s="6"/>
      <c r="W92" s="6"/>
      <c r="X92" s="6"/>
      <c r="Y92" s="6"/>
      <c r="Z92" s="6"/>
    </row>
    <row r="93" ht="14.25" customHeight="1">
      <c r="A93" s="6"/>
      <c r="B93" s="6"/>
      <c r="C93" s="6"/>
      <c r="D93" s="6"/>
      <c r="E93" s="6"/>
      <c r="F93" s="6"/>
      <c r="G93" s="61"/>
      <c r="H93" s="6"/>
      <c r="I93" s="6"/>
      <c r="J93" s="6"/>
      <c r="K93" s="6"/>
      <c r="L93" s="6"/>
      <c r="M93" s="6"/>
      <c r="N93" s="6"/>
      <c r="O93" s="6"/>
      <c r="P93" s="6"/>
      <c r="Q93" s="6"/>
      <c r="R93" s="6"/>
      <c r="S93" s="6"/>
      <c r="T93" s="6"/>
      <c r="U93" s="6"/>
      <c r="V93" s="6"/>
      <c r="W93" s="6"/>
      <c r="X93" s="6"/>
      <c r="Y93" s="6"/>
      <c r="Z93" s="6"/>
    </row>
    <row r="94" ht="14.25" customHeight="1">
      <c r="A94" s="6"/>
      <c r="B94" s="6"/>
      <c r="C94" s="6"/>
      <c r="D94" s="6"/>
      <c r="E94" s="6"/>
      <c r="F94" s="6"/>
      <c r="G94" s="61"/>
      <c r="H94" s="6"/>
      <c r="I94" s="6"/>
      <c r="J94" s="6"/>
      <c r="K94" s="6"/>
      <c r="L94" s="6"/>
      <c r="M94" s="6"/>
      <c r="N94" s="6"/>
      <c r="O94" s="6"/>
      <c r="P94" s="6"/>
      <c r="Q94" s="6"/>
      <c r="R94" s="6"/>
      <c r="S94" s="6"/>
      <c r="T94" s="6"/>
      <c r="U94" s="6"/>
      <c r="V94" s="6"/>
      <c r="W94" s="6"/>
      <c r="X94" s="6"/>
      <c r="Y94" s="6"/>
      <c r="Z94" s="6"/>
    </row>
    <row r="95" ht="14.25" customHeight="1">
      <c r="A95" s="6"/>
      <c r="B95" s="6"/>
      <c r="C95" s="6"/>
      <c r="D95" s="6"/>
      <c r="E95" s="6"/>
      <c r="F95" s="6"/>
      <c r="G95" s="61"/>
      <c r="H95" s="6"/>
      <c r="I95" s="6"/>
      <c r="J95" s="6"/>
      <c r="K95" s="6"/>
      <c r="L95" s="6"/>
      <c r="M95" s="6"/>
      <c r="N95" s="6"/>
      <c r="O95" s="6"/>
      <c r="P95" s="6"/>
      <c r="Q95" s="6"/>
      <c r="R95" s="6"/>
      <c r="S95" s="6"/>
      <c r="T95" s="6"/>
      <c r="U95" s="6"/>
      <c r="V95" s="6"/>
      <c r="W95" s="6"/>
      <c r="X95" s="6"/>
      <c r="Y95" s="6"/>
      <c r="Z95" s="6"/>
    </row>
    <row r="96" ht="14.25" customHeight="1">
      <c r="A96" s="6"/>
      <c r="B96" s="6"/>
      <c r="C96" s="6"/>
      <c r="D96" s="6"/>
      <c r="E96" s="6"/>
      <c r="F96" s="6"/>
      <c r="G96" s="61"/>
      <c r="H96" s="6"/>
      <c r="I96" s="6"/>
      <c r="J96" s="6"/>
      <c r="K96" s="6"/>
      <c r="L96" s="6"/>
      <c r="M96" s="6"/>
      <c r="N96" s="6"/>
      <c r="O96" s="6"/>
      <c r="P96" s="6"/>
      <c r="Q96" s="6"/>
      <c r="R96" s="6"/>
      <c r="S96" s="6"/>
      <c r="T96" s="6"/>
      <c r="U96" s="6"/>
      <c r="V96" s="6"/>
      <c r="W96" s="6"/>
      <c r="X96" s="6"/>
      <c r="Y96" s="6"/>
      <c r="Z96" s="6"/>
    </row>
    <row r="97" ht="14.25" customHeight="1">
      <c r="A97" s="6"/>
      <c r="B97" s="6"/>
      <c r="C97" s="6"/>
      <c r="D97" s="6"/>
      <c r="E97" s="6"/>
      <c r="F97" s="6"/>
      <c r="G97" s="61"/>
      <c r="H97" s="6"/>
      <c r="I97" s="6"/>
      <c r="J97" s="6"/>
      <c r="K97" s="6"/>
      <c r="L97" s="6"/>
      <c r="M97" s="6"/>
      <c r="N97" s="6"/>
      <c r="O97" s="6"/>
      <c r="P97" s="6"/>
      <c r="Q97" s="6"/>
      <c r="R97" s="6"/>
      <c r="S97" s="6"/>
      <c r="T97" s="6"/>
      <c r="U97" s="6"/>
      <c r="V97" s="6"/>
      <c r="W97" s="6"/>
      <c r="X97" s="6"/>
      <c r="Y97" s="6"/>
      <c r="Z97" s="6"/>
    </row>
    <row r="98" ht="14.25" customHeight="1">
      <c r="A98" s="6"/>
      <c r="B98" s="6"/>
      <c r="C98" s="6"/>
      <c r="D98" s="6"/>
      <c r="E98" s="6"/>
      <c r="F98" s="6"/>
      <c r="G98" s="61"/>
      <c r="H98" s="6"/>
      <c r="I98" s="6"/>
      <c r="J98" s="6"/>
      <c r="K98" s="6"/>
      <c r="L98" s="6"/>
      <c r="M98" s="6"/>
      <c r="N98" s="6"/>
      <c r="O98" s="6"/>
      <c r="P98" s="6"/>
      <c r="Q98" s="6"/>
      <c r="R98" s="6"/>
      <c r="S98" s="6"/>
      <c r="T98" s="6"/>
      <c r="U98" s="6"/>
      <c r="V98" s="6"/>
      <c r="W98" s="6"/>
      <c r="X98" s="6"/>
      <c r="Y98" s="6"/>
      <c r="Z98" s="6"/>
    </row>
    <row r="99" ht="14.25" customHeight="1">
      <c r="A99" s="6"/>
      <c r="B99" s="6"/>
      <c r="C99" s="6"/>
      <c r="D99" s="6"/>
      <c r="E99" s="6"/>
      <c r="F99" s="6"/>
      <c r="G99" s="61"/>
      <c r="H99" s="6"/>
      <c r="I99" s="6"/>
      <c r="J99" s="6"/>
      <c r="K99" s="6"/>
      <c r="L99" s="6"/>
      <c r="M99" s="6"/>
      <c r="N99" s="6"/>
      <c r="O99" s="6"/>
      <c r="P99" s="6"/>
      <c r="Q99" s="6"/>
      <c r="R99" s="6"/>
      <c r="S99" s="6"/>
      <c r="T99" s="6"/>
      <c r="U99" s="6"/>
      <c r="V99" s="6"/>
      <c r="W99" s="6"/>
      <c r="X99" s="6"/>
      <c r="Y99" s="6"/>
      <c r="Z99" s="6"/>
    </row>
    <row r="100" ht="14.25" customHeight="1">
      <c r="A100" s="6"/>
      <c r="B100" s="6"/>
      <c r="C100" s="6"/>
      <c r="D100" s="6"/>
      <c r="E100" s="6"/>
      <c r="F100" s="6"/>
      <c r="G100" s="61"/>
      <c r="H100" s="6"/>
      <c r="I100" s="6"/>
      <c r="J100" s="6"/>
      <c r="K100" s="6"/>
      <c r="L100" s="6"/>
      <c r="M100" s="6"/>
      <c r="N100" s="6"/>
      <c r="O100" s="6"/>
      <c r="P100" s="6"/>
      <c r="Q100" s="6"/>
      <c r="R100" s="6"/>
      <c r="S100" s="6"/>
      <c r="T100" s="6"/>
      <c r="U100" s="6"/>
      <c r="V100" s="6"/>
      <c r="W100" s="6"/>
      <c r="X100" s="6"/>
      <c r="Y100" s="6"/>
      <c r="Z100" s="6"/>
    </row>
    <row r="101" ht="14.25" customHeight="1">
      <c r="A101" s="6"/>
      <c r="B101" s="6"/>
      <c r="C101" s="6"/>
      <c r="D101" s="6"/>
      <c r="E101" s="6"/>
      <c r="F101" s="6"/>
      <c r="G101" s="61"/>
      <c r="H101" s="6"/>
      <c r="I101" s="6"/>
      <c r="J101" s="6"/>
      <c r="K101" s="6"/>
      <c r="L101" s="6"/>
      <c r="M101" s="6"/>
      <c r="N101" s="6"/>
      <c r="O101" s="6"/>
      <c r="P101" s="6"/>
      <c r="Q101" s="6"/>
      <c r="R101" s="6"/>
      <c r="S101" s="6"/>
      <c r="T101" s="6"/>
      <c r="U101" s="6"/>
      <c r="V101" s="6"/>
      <c r="W101" s="6"/>
      <c r="X101" s="6"/>
      <c r="Y101" s="6"/>
      <c r="Z101" s="6"/>
    </row>
    <row r="102" ht="14.25" customHeight="1">
      <c r="A102" s="6"/>
      <c r="B102" s="6"/>
      <c r="C102" s="6"/>
      <c r="D102" s="6"/>
      <c r="E102" s="6"/>
      <c r="F102" s="6"/>
      <c r="G102" s="61"/>
      <c r="H102" s="6"/>
      <c r="I102" s="6"/>
      <c r="J102" s="6"/>
      <c r="K102" s="6"/>
      <c r="L102" s="6"/>
      <c r="M102" s="6"/>
      <c r="N102" s="6"/>
      <c r="O102" s="6"/>
      <c r="P102" s="6"/>
      <c r="Q102" s="6"/>
      <c r="R102" s="6"/>
      <c r="S102" s="6"/>
      <c r="T102" s="6"/>
      <c r="U102" s="6"/>
      <c r="V102" s="6"/>
      <c r="W102" s="6"/>
      <c r="X102" s="6"/>
      <c r="Y102" s="6"/>
      <c r="Z102" s="6"/>
    </row>
    <row r="103" ht="14.25" customHeight="1">
      <c r="A103" s="6"/>
      <c r="B103" s="6"/>
      <c r="C103" s="6"/>
      <c r="D103" s="6"/>
      <c r="E103" s="6"/>
      <c r="F103" s="6"/>
      <c r="G103" s="61"/>
      <c r="H103" s="6"/>
      <c r="I103" s="6"/>
      <c r="J103" s="6"/>
      <c r="K103" s="6"/>
      <c r="L103" s="6"/>
      <c r="M103" s="6"/>
      <c r="N103" s="6"/>
      <c r="O103" s="6"/>
      <c r="P103" s="6"/>
      <c r="Q103" s="6"/>
      <c r="R103" s="6"/>
      <c r="S103" s="6"/>
      <c r="T103" s="6"/>
      <c r="U103" s="6"/>
      <c r="V103" s="6"/>
      <c r="W103" s="6"/>
      <c r="X103" s="6"/>
      <c r="Y103" s="6"/>
      <c r="Z103" s="6"/>
    </row>
    <row r="104" ht="14.25" customHeight="1">
      <c r="A104" s="6"/>
      <c r="B104" s="6"/>
      <c r="C104" s="6"/>
      <c r="D104" s="6"/>
      <c r="E104" s="6"/>
      <c r="F104" s="6"/>
      <c r="G104" s="61"/>
      <c r="H104" s="6"/>
      <c r="I104" s="6"/>
      <c r="J104" s="6"/>
      <c r="K104" s="6"/>
      <c r="L104" s="6"/>
      <c r="M104" s="6"/>
      <c r="N104" s="6"/>
      <c r="O104" s="6"/>
      <c r="P104" s="6"/>
      <c r="Q104" s="6"/>
      <c r="R104" s="6"/>
      <c r="S104" s="6"/>
      <c r="T104" s="6"/>
      <c r="U104" s="6"/>
      <c r="V104" s="6"/>
      <c r="W104" s="6"/>
      <c r="X104" s="6"/>
      <c r="Y104" s="6"/>
      <c r="Z104" s="6"/>
    </row>
    <row r="105" ht="14.25" customHeight="1">
      <c r="A105" s="6"/>
      <c r="B105" s="6"/>
      <c r="C105" s="6"/>
      <c r="D105" s="6"/>
      <c r="E105" s="6"/>
      <c r="F105" s="6"/>
      <c r="G105" s="61"/>
      <c r="H105" s="6"/>
      <c r="I105" s="6"/>
      <c r="J105" s="6"/>
      <c r="K105" s="6"/>
      <c r="L105" s="6"/>
      <c r="M105" s="6"/>
      <c r="N105" s="6"/>
      <c r="O105" s="6"/>
      <c r="P105" s="6"/>
      <c r="Q105" s="6"/>
      <c r="R105" s="6"/>
      <c r="S105" s="6"/>
      <c r="T105" s="6"/>
      <c r="U105" s="6"/>
      <c r="V105" s="6"/>
      <c r="W105" s="6"/>
      <c r="X105" s="6"/>
      <c r="Y105" s="6"/>
      <c r="Z105" s="6"/>
    </row>
    <row r="106" ht="14.25" customHeight="1">
      <c r="A106" s="6"/>
      <c r="B106" s="6"/>
      <c r="C106" s="6"/>
      <c r="D106" s="6"/>
      <c r="E106" s="6"/>
      <c r="F106" s="6"/>
      <c r="G106" s="61"/>
      <c r="H106" s="6"/>
      <c r="I106" s="6"/>
      <c r="J106" s="6"/>
      <c r="K106" s="6"/>
      <c r="L106" s="6"/>
      <c r="M106" s="6"/>
      <c r="N106" s="6"/>
      <c r="O106" s="6"/>
      <c r="P106" s="6"/>
      <c r="Q106" s="6"/>
      <c r="R106" s="6"/>
      <c r="S106" s="6"/>
      <c r="T106" s="6"/>
      <c r="U106" s="6"/>
      <c r="V106" s="6"/>
      <c r="W106" s="6"/>
      <c r="X106" s="6"/>
      <c r="Y106" s="6"/>
      <c r="Z106" s="6"/>
    </row>
    <row r="107" ht="14.25" customHeight="1">
      <c r="A107" s="6"/>
      <c r="B107" s="6"/>
      <c r="C107" s="6"/>
      <c r="D107" s="6"/>
      <c r="E107" s="6"/>
      <c r="F107" s="6"/>
      <c r="G107" s="61"/>
      <c r="H107" s="6"/>
      <c r="I107" s="6"/>
      <c r="J107" s="6"/>
      <c r="K107" s="6"/>
      <c r="L107" s="6"/>
      <c r="M107" s="6"/>
      <c r="N107" s="6"/>
      <c r="O107" s="6"/>
      <c r="P107" s="6"/>
      <c r="Q107" s="6"/>
      <c r="R107" s="6"/>
      <c r="S107" s="6"/>
      <c r="T107" s="6"/>
      <c r="U107" s="6"/>
      <c r="V107" s="6"/>
      <c r="W107" s="6"/>
      <c r="X107" s="6"/>
      <c r="Y107" s="6"/>
      <c r="Z107" s="6"/>
    </row>
    <row r="108" ht="14.25" customHeight="1">
      <c r="A108" s="6"/>
      <c r="B108" s="6"/>
      <c r="C108" s="6"/>
      <c r="D108" s="6"/>
      <c r="E108" s="6"/>
      <c r="F108" s="6"/>
      <c r="G108" s="61"/>
      <c r="H108" s="6"/>
      <c r="I108" s="6"/>
      <c r="J108" s="6"/>
      <c r="K108" s="6"/>
      <c r="L108" s="6"/>
      <c r="M108" s="6"/>
      <c r="N108" s="6"/>
      <c r="O108" s="6"/>
      <c r="P108" s="6"/>
      <c r="Q108" s="6"/>
      <c r="R108" s="6"/>
      <c r="S108" s="6"/>
      <c r="T108" s="6"/>
      <c r="U108" s="6"/>
      <c r="V108" s="6"/>
      <c r="W108" s="6"/>
      <c r="X108" s="6"/>
      <c r="Y108" s="6"/>
      <c r="Z108" s="6"/>
    </row>
    <row r="109" ht="14.25" customHeight="1">
      <c r="A109" s="6"/>
      <c r="B109" s="6"/>
      <c r="C109" s="6"/>
      <c r="D109" s="6"/>
      <c r="E109" s="6"/>
      <c r="F109" s="6"/>
      <c r="G109" s="61"/>
      <c r="H109" s="6"/>
      <c r="I109" s="6"/>
      <c r="J109" s="6"/>
      <c r="K109" s="6"/>
      <c r="L109" s="6"/>
      <c r="M109" s="6"/>
      <c r="N109" s="6"/>
      <c r="O109" s="6"/>
      <c r="P109" s="6"/>
      <c r="Q109" s="6"/>
      <c r="R109" s="6"/>
      <c r="S109" s="6"/>
      <c r="T109" s="6"/>
      <c r="U109" s="6"/>
      <c r="V109" s="6"/>
      <c r="W109" s="6"/>
      <c r="X109" s="6"/>
      <c r="Y109" s="6"/>
      <c r="Z109" s="6"/>
    </row>
    <row r="110" ht="14.25" customHeight="1">
      <c r="A110" s="6"/>
      <c r="B110" s="6"/>
      <c r="C110" s="6"/>
      <c r="D110" s="6"/>
      <c r="E110" s="6"/>
      <c r="F110" s="6"/>
      <c r="G110" s="61"/>
      <c r="H110" s="6"/>
      <c r="I110" s="6"/>
      <c r="J110" s="6"/>
      <c r="K110" s="6"/>
      <c r="L110" s="6"/>
      <c r="M110" s="6"/>
      <c r="N110" s="6"/>
      <c r="O110" s="6"/>
      <c r="P110" s="6"/>
      <c r="Q110" s="6"/>
      <c r="R110" s="6"/>
      <c r="S110" s="6"/>
      <c r="T110" s="6"/>
      <c r="U110" s="6"/>
      <c r="V110" s="6"/>
      <c r="W110" s="6"/>
      <c r="X110" s="6"/>
      <c r="Y110" s="6"/>
      <c r="Z110" s="6"/>
    </row>
    <row r="111" ht="14.25" customHeight="1">
      <c r="A111" s="6"/>
      <c r="B111" s="6"/>
      <c r="C111" s="6"/>
      <c r="D111" s="6"/>
      <c r="E111" s="6"/>
      <c r="F111" s="6"/>
      <c r="G111" s="61"/>
      <c r="H111" s="6"/>
      <c r="I111" s="6"/>
      <c r="J111" s="6"/>
      <c r="K111" s="6"/>
      <c r="L111" s="6"/>
      <c r="M111" s="6"/>
      <c r="N111" s="6"/>
      <c r="O111" s="6"/>
      <c r="P111" s="6"/>
      <c r="Q111" s="6"/>
      <c r="R111" s="6"/>
      <c r="S111" s="6"/>
      <c r="T111" s="6"/>
      <c r="U111" s="6"/>
      <c r="V111" s="6"/>
      <c r="W111" s="6"/>
      <c r="X111" s="6"/>
      <c r="Y111" s="6"/>
      <c r="Z111" s="6"/>
    </row>
    <row r="112" ht="14.25" customHeight="1">
      <c r="A112" s="6"/>
      <c r="B112" s="6"/>
      <c r="C112" s="6"/>
      <c r="D112" s="6"/>
      <c r="E112" s="6"/>
      <c r="F112" s="6"/>
      <c r="G112" s="61"/>
      <c r="H112" s="6"/>
      <c r="I112" s="6"/>
      <c r="J112" s="6"/>
      <c r="K112" s="6"/>
      <c r="L112" s="6"/>
      <c r="M112" s="6"/>
      <c r="N112" s="6"/>
      <c r="O112" s="6"/>
      <c r="P112" s="6"/>
      <c r="Q112" s="6"/>
      <c r="R112" s="6"/>
      <c r="S112" s="6"/>
      <c r="T112" s="6"/>
      <c r="U112" s="6"/>
      <c r="V112" s="6"/>
      <c r="W112" s="6"/>
      <c r="X112" s="6"/>
      <c r="Y112" s="6"/>
      <c r="Z112" s="6"/>
    </row>
    <row r="113" ht="14.25" customHeight="1">
      <c r="A113" s="6"/>
      <c r="B113" s="6"/>
      <c r="C113" s="6"/>
      <c r="D113" s="6"/>
      <c r="E113" s="6"/>
      <c r="F113" s="6"/>
      <c r="G113" s="61"/>
      <c r="H113" s="6"/>
      <c r="I113" s="6"/>
      <c r="J113" s="6"/>
      <c r="K113" s="6"/>
      <c r="L113" s="6"/>
      <c r="M113" s="6"/>
      <c r="N113" s="6"/>
      <c r="O113" s="6"/>
      <c r="P113" s="6"/>
      <c r="Q113" s="6"/>
      <c r="R113" s="6"/>
      <c r="S113" s="6"/>
      <c r="T113" s="6"/>
      <c r="U113" s="6"/>
      <c r="V113" s="6"/>
      <c r="W113" s="6"/>
      <c r="X113" s="6"/>
      <c r="Y113" s="6"/>
      <c r="Z113" s="6"/>
    </row>
    <row r="114" ht="14.25" customHeight="1">
      <c r="A114" s="6"/>
      <c r="B114" s="6"/>
      <c r="C114" s="6"/>
      <c r="D114" s="6"/>
      <c r="E114" s="6"/>
      <c r="F114" s="6"/>
      <c r="G114" s="61"/>
      <c r="H114" s="6"/>
      <c r="I114" s="6"/>
      <c r="J114" s="6"/>
      <c r="K114" s="6"/>
      <c r="L114" s="6"/>
      <c r="M114" s="6"/>
      <c r="N114" s="6"/>
      <c r="O114" s="6"/>
      <c r="P114" s="6"/>
      <c r="Q114" s="6"/>
      <c r="R114" s="6"/>
      <c r="S114" s="6"/>
      <c r="T114" s="6"/>
      <c r="U114" s="6"/>
      <c r="V114" s="6"/>
      <c r="W114" s="6"/>
      <c r="X114" s="6"/>
      <c r="Y114" s="6"/>
      <c r="Z114" s="6"/>
    </row>
    <row r="115" ht="14.25" customHeight="1">
      <c r="A115" s="6"/>
      <c r="B115" s="6"/>
      <c r="C115" s="6"/>
      <c r="D115" s="6"/>
      <c r="E115" s="6"/>
      <c r="F115" s="6"/>
      <c r="G115" s="61"/>
      <c r="H115" s="6"/>
      <c r="I115" s="6"/>
      <c r="J115" s="6"/>
      <c r="K115" s="6"/>
      <c r="L115" s="6"/>
      <c r="M115" s="6"/>
      <c r="N115" s="6"/>
      <c r="O115" s="6"/>
      <c r="P115" s="6"/>
      <c r="Q115" s="6"/>
      <c r="R115" s="6"/>
      <c r="S115" s="6"/>
      <c r="T115" s="6"/>
      <c r="U115" s="6"/>
      <c r="V115" s="6"/>
      <c r="W115" s="6"/>
      <c r="X115" s="6"/>
      <c r="Y115" s="6"/>
      <c r="Z115" s="6"/>
    </row>
    <row r="116" ht="14.25" customHeight="1">
      <c r="A116" s="6"/>
      <c r="B116" s="6"/>
      <c r="C116" s="6"/>
      <c r="D116" s="6"/>
      <c r="E116" s="6"/>
      <c r="F116" s="6"/>
      <c r="G116" s="61"/>
      <c r="H116" s="6"/>
      <c r="I116" s="6"/>
      <c r="J116" s="6"/>
      <c r="K116" s="6"/>
      <c r="L116" s="6"/>
      <c r="M116" s="6"/>
      <c r="N116" s="6"/>
      <c r="O116" s="6"/>
      <c r="P116" s="6"/>
      <c r="Q116" s="6"/>
      <c r="R116" s="6"/>
      <c r="S116" s="6"/>
      <c r="T116" s="6"/>
      <c r="U116" s="6"/>
      <c r="V116" s="6"/>
      <c r="W116" s="6"/>
      <c r="X116" s="6"/>
      <c r="Y116" s="6"/>
      <c r="Z116" s="6"/>
    </row>
    <row r="117" ht="14.25" customHeight="1">
      <c r="A117" s="6"/>
      <c r="B117" s="6"/>
      <c r="C117" s="6"/>
      <c r="D117" s="6"/>
      <c r="E117" s="6"/>
      <c r="F117" s="6"/>
      <c r="G117" s="61"/>
      <c r="H117" s="6"/>
      <c r="I117" s="6"/>
      <c r="J117" s="6"/>
      <c r="K117" s="6"/>
      <c r="L117" s="6"/>
      <c r="M117" s="6"/>
      <c r="N117" s="6"/>
      <c r="O117" s="6"/>
      <c r="P117" s="6"/>
      <c r="Q117" s="6"/>
      <c r="R117" s="6"/>
      <c r="S117" s="6"/>
      <c r="T117" s="6"/>
      <c r="U117" s="6"/>
      <c r="V117" s="6"/>
      <c r="W117" s="6"/>
      <c r="X117" s="6"/>
      <c r="Y117" s="6"/>
      <c r="Z117" s="6"/>
    </row>
    <row r="118" ht="14.25" customHeight="1">
      <c r="A118" s="6"/>
      <c r="B118" s="6"/>
      <c r="C118" s="6"/>
      <c r="D118" s="6"/>
      <c r="E118" s="6"/>
      <c r="F118" s="6"/>
      <c r="G118" s="61"/>
      <c r="H118" s="6"/>
      <c r="I118" s="6"/>
      <c r="J118" s="6"/>
      <c r="K118" s="6"/>
      <c r="L118" s="6"/>
      <c r="M118" s="6"/>
      <c r="N118" s="6"/>
      <c r="O118" s="6"/>
      <c r="P118" s="6"/>
      <c r="Q118" s="6"/>
      <c r="R118" s="6"/>
      <c r="S118" s="6"/>
      <c r="T118" s="6"/>
      <c r="U118" s="6"/>
      <c r="V118" s="6"/>
      <c r="W118" s="6"/>
      <c r="X118" s="6"/>
      <c r="Y118" s="6"/>
      <c r="Z118" s="6"/>
    </row>
    <row r="119" ht="14.25" customHeight="1">
      <c r="A119" s="6"/>
      <c r="B119" s="6"/>
      <c r="C119" s="6"/>
      <c r="D119" s="6"/>
      <c r="E119" s="6"/>
      <c r="F119" s="6"/>
      <c r="G119" s="61"/>
      <c r="H119" s="6"/>
      <c r="I119" s="6"/>
      <c r="J119" s="6"/>
      <c r="K119" s="6"/>
      <c r="L119" s="6"/>
      <c r="M119" s="6"/>
      <c r="N119" s="6"/>
      <c r="O119" s="6"/>
      <c r="P119" s="6"/>
      <c r="Q119" s="6"/>
      <c r="R119" s="6"/>
      <c r="S119" s="6"/>
      <c r="T119" s="6"/>
      <c r="U119" s="6"/>
      <c r="V119" s="6"/>
      <c r="W119" s="6"/>
      <c r="X119" s="6"/>
      <c r="Y119" s="6"/>
      <c r="Z119" s="6"/>
    </row>
    <row r="120" ht="14.25" customHeight="1">
      <c r="A120" s="6"/>
      <c r="B120" s="6"/>
      <c r="C120" s="6"/>
      <c r="D120" s="6"/>
      <c r="E120" s="6"/>
      <c r="F120" s="6"/>
      <c r="G120" s="61"/>
      <c r="H120" s="6"/>
      <c r="I120" s="6"/>
      <c r="J120" s="6"/>
      <c r="K120" s="6"/>
      <c r="L120" s="6"/>
      <c r="M120" s="6"/>
      <c r="N120" s="6"/>
      <c r="O120" s="6"/>
      <c r="P120" s="6"/>
      <c r="Q120" s="6"/>
      <c r="R120" s="6"/>
      <c r="S120" s="6"/>
      <c r="T120" s="6"/>
      <c r="U120" s="6"/>
      <c r="V120" s="6"/>
      <c r="W120" s="6"/>
      <c r="X120" s="6"/>
      <c r="Y120" s="6"/>
      <c r="Z120" s="6"/>
    </row>
    <row r="121" ht="14.25" customHeight="1">
      <c r="A121" s="6"/>
      <c r="B121" s="6"/>
      <c r="C121" s="6"/>
      <c r="D121" s="6"/>
      <c r="E121" s="6"/>
      <c r="F121" s="6"/>
      <c r="G121" s="61"/>
      <c r="H121" s="6"/>
      <c r="I121" s="6"/>
      <c r="J121" s="6"/>
      <c r="K121" s="6"/>
      <c r="L121" s="6"/>
      <c r="M121" s="6"/>
      <c r="N121" s="6"/>
      <c r="O121" s="6"/>
      <c r="P121" s="6"/>
      <c r="Q121" s="6"/>
      <c r="R121" s="6"/>
      <c r="S121" s="6"/>
      <c r="T121" s="6"/>
      <c r="U121" s="6"/>
      <c r="V121" s="6"/>
      <c r="W121" s="6"/>
      <c r="X121" s="6"/>
      <c r="Y121" s="6"/>
      <c r="Z121" s="6"/>
    </row>
    <row r="122" ht="14.25" customHeight="1">
      <c r="A122" s="6"/>
      <c r="B122" s="6"/>
      <c r="C122" s="6"/>
      <c r="D122" s="6"/>
      <c r="E122" s="6"/>
      <c r="F122" s="6"/>
      <c r="G122" s="61"/>
      <c r="H122" s="6"/>
      <c r="I122" s="6"/>
      <c r="J122" s="6"/>
      <c r="K122" s="6"/>
      <c r="L122" s="6"/>
      <c r="M122" s="6"/>
      <c r="N122" s="6"/>
      <c r="O122" s="6"/>
      <c r="P122" s="6"/>
      <c r="Q122" s="6"/>
      <c r="R122" s="6"/>
      <c r="S122" s="6"/>
      <c r="T122" s="6"/>
      <c r="U122" s="6"/>
      <c r="V122" s="6"/>
      <c r="W122" s="6"/>
      <c r="X122" s="6"/>
      <c r="Y122" s="6"/>
      <c r="Z122" s="6"/>
    </row>
    <row r="123" ht="14.25" customHeight="1">
      <c r="A123" s="6"/>
      <c r="B123" s="6"/>
      <c r="C123" s="6"/>
      <c r="D123" s="6"/>
      <c r="E123" s="6"/>
      <c r="F123" s="6"/>
      <c r="G123" s="61"/>
      <c r="H123" s="6"/>
      <c r="I123" s="6"/>
      <c r="J123" s="6"/>
      <c r="K123" s="6"/>
      <c r="L123" s="6"/>
      <c r="M123" s="6"/>
      <c r="N123" s="6"/>
      <c r="O123" s="6"/>
      <c r="P123" s="6"/>
      <c r="Q123" s="6"/>
      <c r="R123" s="6"/>
      <c r="S123" s="6"/>
      <c r="T123" s="6"/>
      <c r="U123" s="6"/>
      <c r="V123" s="6"/>
      <c r="W123" s="6"/>
      <c r="X123" s="6"/>
      <c r="Y123" s="6"/>
      <c r="Z123" s="6"/>
    </row>
    <row r="124" ht="14.25" customHeight="1">
      <c r="A124" s="6"/>
      <c r="B124" s="6"/>
      <c r="C124" s="6"/>
      <c r="D124" s="6"/>
      <c r="E124" s="6"/>
      <c r="F124" s="6"/>
      <c r="G124" s="61"/>
      <c r="H124" s="6"/>
      <c r="I124" s="6"/>
      <c r="J124" s="6"/>
      <c r="K124" s="6"/>
      <c r="L124" s="6"/>
      <c r="M124" s="6"/>
      <c r="N124" s="6"/>
      <c r="O124" s="6"/>
      <c r="P124" s="6"/>
      <c r="Q124" s="6"/>
      <c r="R124" s="6"/>
      <c r="S124" s="6"/>
      <c r="T124" s="6"/>
      <c r="U124" s="6"/>
      <c r="V124" s="6"/>
      <c r="W124" s="6"/>
      <c r="X124" s="6"/>
      <c r="Y124" s="6"/>
      <c r="Z124" s="6"/>
    </row>
    <row r="125" ht="14.25" customHeight="1">
      <c r="A125" s="6"/>
      <c r="B125" s="6"/>
      <c r="C125" s="6"/>
      <c r="D125" s="6"/>
      <c r="E125" s="6"/>
      <c r="F125" s="6"/>
      <c r="G125" s="61"/>
      <c r="H125" s="6"/>
      <c r="I125" s="6"/>
      <c r="J125" s="6"/>
      <c r="K125" s="6"/>
      <c r="L125" s="6"/>
      <c r="M125" s="6"/>
      <c r="N125" s="6"/>
      <c r="O125" s="6"/>
      <c r="P125" s="6"/>
      <c r="Q125" s="6"/>
      <c r="R125" s="6"/>
      <c r="S125" s="6"/>
      <c r="T125" s="6"/>
      <c r="U125" s="6"/>
      <c r="V125" s="6"/>
      <c r="W125" s="6"/>
      <c r="X125" s="6"/>
      <c r="Y125" s="6"/>
      <c r="Z125" s="6"/>
    </row>
    <row r="126" ht="14.25" customHeight="1">
      <c r="A126" s="6"/>
      <c r="B126" s="6"/>
      <c r="C126" s="6"/>
      <c r="D126" s="6"/>
      <c r="E126" s="6"/>
      <c r="F126" s="6"/>
      <c r="G126" s="61"/>
      <c r="H126" s="6"/>
      <c r="I126" s="6"/>
      <c r="J126" s="6"/>
      <c r="K126" s="6"/>
      <c r="L126" s="6"/>
      <c r="M126" s="6"/>
      <c r="N126" s="6"/>
      <c r="O126" s="6"/>
      <c r="P126" s="6"/>
      <c r="Q126" s="6"/>
      <c r="R126" s="6"/>
      <c r="S126" s="6"/>
      <c r="T126" s="6"/>
      <c r="U126" s="6"/>
      <c r="V126" s="6"/>
      <c r="W126" s="6"/>
      <c r="X126" s="6"/>
      <c r="Y126" s="6"/>
      <c r="Z126" s="6"/>
    </row>
    <row r="127" ht="14.25" customHeight="1">
      <c r="A127" s="6"/>
      <c r="B127" s="6"/>
      <c r="C127" s="6"/>
      <c r="D127" s="6"/>
      <c r="E127" s="6"/>
      <c r="F127" s="6"/>
      <c r="G127" s="61"/>
      <c r="H127" s="6"/>
      <c r="I127" s="6"/>
      <c r="J127" s="6"/>
      <c r="K127" s="6"/>
      <c r="L127" s="6"/>
      <c r="M127" s="6"/>
      <c r="N127" s="6"/>
      <c r="O127" s="6"/>
      <c r="P127" s="6"/>
      <c r="Q127" s="6"/>
      <c r="R127" s="6"/>
      <c r="S127" s="6"/>
      <c r="T127" s="6"/>
      <c r="U127" s="6"/>
      <c r="V127" s="6"/>
      <c r="W127" s="6"/>
      <c r="X127" s="6"/>
      <c r="Y127" s="6"/>
      <c r="Z127" s="6"/>
    </row>
    <row r="128" ht="14.25" customHeight="1">
      <c r="A128" s="6"/>
      <c r="B128" s="6"/>
      <c r="C128" s="6"/>
      <c r="D128" s="6"/>
      <c r="E128" s="6"/>
      <c r="F128" s="6"/>
      <c r="G128" s="61"/>
      <c r="H128" s="6"/>
      <c r="I128" s="6"/>
      <c r="J128" s="6"/>
      <c r="K128" s="6"/>
      <c r="L128" s="6"/>
      <c r="M128" s="6"/>
      <c r="N128" s="6"/>
      <c r="O128" s="6"/>
      <c r="P128" s="6"/>
      <c r="Q128" s="6"/>
      <c r="R128" s="6"/>
      <c r="S128" s="6"/>
      <c r="T128" s="6"/>
      <c r="U128" s="6"/>
      <c r="V128" s="6"/>
      <c r="W128" s="6"/>
      <c r="X128" s="6"/>
      <c r="Y128" s="6"/>
      <c r="Z128" s="6"/>
    </row>
    <row r="129" ht="14.25" customHeight="1">
      <c r="A129" s="6"/>
      <c r="B129" s="6"/>
      <c r="C129" s="6"/>
      <c r="D129" s="6"/>
      <c r="E129" s="6"/>
      <c r="F129" s="6"/>
      <c r="G129" s="61"/>
      <c r="H129" s="6"/>
      <c r="I129" s="6"/>
      <c r="J129" s="6"/>
      <c r="K129" s="6"/>
      <c r="L129" s="6"/>
      <c r="M129" s="6"/>
      <c r="N129" s="6"/>
      <c r="O129" s="6"/>
      <c r="P129" s="6"/>
      <c r="Q129" s="6"/>
      <c r="R129" s="6"/>
      <c r="S129" s="6"/>
      <c r="T129" s="6"/>
      <c r="U129" s="6"/>
      <c r="V129" s="6"/>
      <c r="W129" s="6"/>
      <c r="X129" s="6"/>
      <c r="Y129" s="6"/>
      <c r="Z129" s="6"/>
    </row>
    <row r="130" ht="14.25" customHeight="1">
      <c r="A130" s="6"/>
      <c r="B130" s="6"/>
      <c r="C130" s="6"/>
      <c r="D130" s="6"/>
      <c r="E130" s="6"/>
      <c r="F130" s="6"/>
      <c r="G130" s="61"/>
      <c r="H130" s="6"/>
      <c r="I130" s="6"/>
      <c r="J130" s="6"/>
      <c r="K130" s="6"/>
      <c r="L130" s="6"/>
      <c r="M130" s="6"/>
      <c r="N130" s="6"/>
      <c r="O130" s="6"/>
      <c r="P130" s="6"/>
      <c r="Q130" s="6"/>
      <c r="R130" s="6"/>
      <c r="S130" s="6"/>
      <c r="T130" s="6"/>
      <c r="U130" s="6"/>
      <c r="V130" s="6"/>
      <c r="W130" s="6"/>
      <c r="X130" s="6"/>
      <c r="Y130" s="6"/>
      <c r="Z130" s="6"/>
    </row>
    <row r="131" ht="14.25" customHeight="1">
      <c r="A131" s="6"/>
      <c r="B131" s="6"/>
      <c r="C131" s="6"/>
      <c r="D131" s="6"/>
      <c r="E131" s="6"/>
      <c r="F131" s="6"/>
      <c r="G131" s="61"/>
      <c r="H131" s="6"/>
      <c r="I131" s="6"/>
      <c r="J131" s="6"/>
      <c r="K131" s="6"/>
      <c r="L131" s="6"/>
      <c r="M131" s="6"/>
      <c r="N131" s="6"/>
      <c r="O131" s="6"/>
      <c r="P131" s="6"/>
      <c r="Q131" s="6"/>
      <c r="R131" s="6"/>
      <c r="S131" s="6"/>
      <c r="T131" s="6"/>
      <c r="U131" s="6"/>
      <c r="V131" s="6"/>
      <c r="W131" s="6"/>
      <c r="X131" s="6"/>
      <c r="Y131" s="6"/>
      <c r="Z131" s="6"/>
    </row>
    <row r="132" ht="14.25" customHeight="1">
      <c r="A132" s="6"/>
      <c r="B132" s="6"/>
      <c r="C132" s="6"/>
      <c r="D132" s="6"/>
      <c r="E132" s="6"/>
      <c r="F132" s="6"/>
      <c r="G132" s="61"/>
      <c r="H132" s="6"/>
      <c r="I132" s="6"/>
      <c r="J132" s="6"/>
      <c r="K132" s="6"/>
      <c r="L132" s="6"/>
      <c r="M132" s="6"/>
      <c r="N132" s="6"/>
      <c r="O132" s="6"/>
      <c r="P132" s="6"/>
      <c r="Q132" s="6"/>
      <c r="R132" s="6"/>
      <c r="S132" s="6"/>
      <c r="T132" s="6"/>
      <c r="U132" s="6"/>
      <c r="V132" s="6"/>
      <c r="W132" s="6"/>
      <c r="X132" s="6"/>
      <c r="Y132" s="6"/>
      <c r="Z132" s="6"/>
    </row>
    <row r="133" ht="14.25" customHeight="1">
      <c r="A133" s="6"/>
      <c r="B133" s="6"/>
      <c r="C133" s="6"/>
      <c r="D133" s="6"/>
      <c r="E133" s="6"/>
      <c r="F133" s="6"/>
      <c r="G133" s="61"/>
      <c r="H133" s="6"/>
      <c r="I133" s="6"/>
      <c r="J133" s="6"/>
      <c r="K133" s="6"/>
      <c r="L133" s="6"/>
      <c r="M133" s="6"/>
      <c r="N133" s="6"/>
      <c r="O133" s="6"/>
      <c r="P133" s="6"/>
      <c r="Q133" s="6"/>
      <c r="R133" s="6"/>
      <c r="S133" s="6"/>
      <c r="T133" s="6"/>
      <c r="U133" s="6"/>
      <c r="V133" s="6"/>
      <c r="W133" s="6"/>
      <c r="X133" s="6"/>
      <c r="Y133" s="6"/>
      <c r="Z133" s="6"/>
    </row>
    <row r="134" ht="14.25" customHeight="1">
      <c r="A134" s="6"/>
      <c r="B134" s="6"/>
      <c r="C134" s="6"/>
      <c r="D134" s="6"/>
      <c r="E134" s="6"/>
      <c r="F134" s="6"/>
      <c r="G134" s="61"/>
      <c r="H134" s="6"/>
      <c r="I134" s="6"/>
      <c r="J134" s="6"/>
      <c r="K134" s="6"/>
      <c r="L134" s="6"/>
      <c r="M134" s="6"/>
      <c r="N134" s="6"/>
      <c r="O134" s="6"/>
      <c r="P134" s="6"/>
      <c r="Q134" s="6"/>
      <c r="R134" s="6"/>
      <c r="S134" s="6"/>
      <c r="T134" s="6"/>
      <c r="U134" s="6"/>
      <c r="V134" s="6"/>
      <c r="W134" s="6"/>
      <c r="X134" s="6"/>
      <c r="Y134" s="6"/>
      <c r="Z134" s="6"/>
    </row>
    <row r="135" ht="14.25" customHeight="1">
      <c r="A135" s="6"/>
      <c r="B135" s="6"/>
      <c r="C135" s="6"/>
      <c r="D135" s="6"/>
      <c r="E135" s="6"/>
      <c r="F135" s="6"/>
      <c r="G135" s="61"/>
      <c r="H135" s="6"/>
      <c r="I135" s="6"/>
      <c r="J135" s="6"/>
      <c r="K135" s="6"/>
      <c r="L135" s="6"/>
      <c r="M135" s="6"/>
      <c r="N135" s="6"/>
      <c r="O135" s="6"/>
      <c r="P135" s="6"/>
      <c r="Q135" s="6"/>
      <c r="R135" s="6"/>
      <c r="S135" s="6"/>
      <c r="T135" s="6"/>
      <c r="U135" s="6"/>
      <c r="V135" s="6"/>
      <c r="W135" s="6"/>
      <c r="X135" s="6"/>
      <c r="Y135" s="6"/>
      <c r="Z135" s="6"/>
    </row>
    <row r="136" ht="14.25" customHeight="1">
      <c r="A136" s="6"/>
      <c r="B136" s="6"/>
      <c r="C136" s="6"/>
      <c r="D136" s="6"/>
      <c r="E136" s="6"/>
      <c r="F136" s="6"/>
      <c r="G136" s="61"/>
      <c r="H136" s="6"/>
      <c r="I136" s="6"/>
      <c r="J136" s="6"/>
      <c r="K136" s="6"/>
      <c r="L136" s="6"/>
      <c r="M136" s="6"/>
      <c r="N136" s="6"/>
      <c r="O136" s="6"/>
      <c r="P136" s="6"/>
      <c r="Q136" s="6"/>
      <c r="R136" s="6"/>
      <c r="S136" s="6"/>
      <c r="T136" s="6"/>
      <c r="U136" s="6"/>
      <c r="V136" s="6"/>
      <c r="W136" s="6"/>
      <c r="X136" s="6"/>
      <c r="Y136" s="6"/>
      <c r="Z136" s="6"/>
    </row>
    <row r="137" ht="14.25" customHeight="1">
      <c r="A137" s="6"/>
      <c r="B137" s="6"/>
      <c r="C137" s="6"/>
      <c r="D137" s="6"/>
      <c r="E137" s="6"/>
      <c r="F137" s="6"/>
      <c r="G137" s="61"/>
      <c r="H137" s="6"/>
      <c r="I137" s="6"/>
      <c r="J137" s="6"/>
      <c r="K137" s="6"/>
      <c r="L137" s="6"/>
      <c r="M137" s="6"/>
      <c r="N137" s="6"/>
      <c r="O137" s="6"/>
      <c r="P137" s="6"/>
      <c r="Q137" s="6"/>
      <c r="R137" s="6"/>
      <c r="S137" s="6"/>
      <c r="T137" s="6"/>
      <c r="U137" s="6"/>
      <c r="V137" s="6"/>
      <c r="W137" s="6"/>
      <c r="X137" s="6"/>
      <c r="Y137" s="6"/>
      <c r="Z137" s="6"/>
    </row>
    <row r="138" ht="14.25" customHeight="1">
      <c r="A138" s="6"/>
      <c r="B138" s="6"/>
      <c r="C138" s="6"/>
      <c r="D138" s="6"/>
      <c r="E138" s="6"/>
      <c r="F138" s="6"/>
      <c r="G138" s="61"/>
      <c r="H138" s="6"/>
      <c r="I138" s="6"/>
      <c r="J138" s="6"/>
      <c r="K138" s="6"/>
      <c r="L138" s="6"/>
      <c r="M138" s="6"/>
      <c r="N138" s="6"/>
      <c r="O138" s="6"/>
      <c r="P138" s="6"/>
      <c r="Q138" s="6"/>
      <c r="R138" s="6"/>
      <c r="S138" s="6"/>
      <c r="T138" s="6"/>
      <c r="U138" s="6"/>
      <c r="V138" s="6"/>
      <c r="W138" s="6"/>
      <c r="X138" s="6"/>
      <c r="Y138" s="6"/>
      <c r="Z138" s="6"/>
    </row>
    <row r="139" ht="14.25" customHeight="1">
      <c r="A139" s="6"/>
      <c r="B139" s="6"/>
      <c r="C139" s="6"/>
      <c r="D139" s="6"/>
      <c r="E139" s="6"/>
      <c r="F139" s="6"/>
      <c r="G139" s="61"/>
      <c r="H139" s="6"/>
      <c r="I139" s="6"/>
      <c r="J139" s="6"/>
      <c r="K139" s="6"/>
      <c r="L139" s="6"/>
      <c r="M139" s="6"/>
      <c r="N139" s="6"/>
      <c r="O139" s="6"/>
      <c r="P139" s="6"/>
      <c r="Q139" s="6"/>
      <c r="R139" s="6"/>
      <c r="S139" s="6"/>
      <c r="T139" s="6"/>
      <c r="U139" s="6"/>
      <c r="V139" s="6"/>
      <c r="W139" s="6"/>
      <c r="X139" s="6"/>
      <c r="Y139" s="6"/>
      <c r="Z139" s="6"/>
    </row>
    <row r="140" ht="14.25" customHeight="1">
      <c r="A140" s="6"/>
      <c r="B140" s="6"/>
      <c r="C140" s="6"/>
      <c r="D140" s="6"/>
      <c r="E140" s="6"/>
      <c r="F140" s="6"/>
      <c r="G140" s="61"/>
      <c r="H140" s="6"/>
      <c r="I140" s="6"/>
      <c r="J140" s="6"/>
      <c r="K140" s="6"/>
      <c r="L140" s="6"/>
      <c r="M140" s="6"/>
      <c r="N140" s="6"/>
      <c r="O140" s="6"/>
      <c r="P140" s="6"/>
      <c r="Q140" s="6"/>
      <c r="R140" s="6"/>
      <c r="S140" s="6"/>
      <c r="T140" s="6"/>
      <c r="U140" s="6"/>
      <c r="V140" s="6"/>
      <c r="W140" s="6"/>
      <c r="X140" s="6"/>
      <c r="Y140" s="6"/>
      <c r="Z140" s="6"/>
    </row>
    <row r="141" ht="14.25" customHeight="1">
      <c r="A141" s="6"/>
      <c r="B141" s="6"/>
      <c r="C141" s="6"/>
      <c r="D141" s="6"/>
      <c r="E141" s="6"/>
      <c r="F141" s="6"/>
      <c r="G141" s="61"/>
      <c r="H141" s="6"/>
      <c r="I141" s="6"/>
      <c r="J141" s="6"/>
      <c r="K141" s="6"/>
      <c r="L141" s="6"/>
      <c r="M141" s="6"/>
      <c r="N141" s="6"/>
      <c r="O141" s="6"/>
      <c r="P141" s="6"/>
      <c r="Q141" s="6"/>
      <c r="R141" s="6"/>
      <c r="S141" s="6"/>
      <c r="T141" s="6"/>
      <c r="U141" s="6"/>
      <c r="V141" s="6"/>
      <c r="W141" s="6"/>
      <c r="X141" s="6"/>
      <c r="Y141" s="6"/>
      <c r="Z141" s="6"/>
    </row>
    <row r="142" ht="14.25" customHeight="1">
      <c r="A142" s="6"/>
      <c r="B142" s="6"/>
      <c r="C142" s="6"/>
      <c r="D142" s="6"/>
      <c r="E142" s="6"/>
      <c r="F142" s="6"/>
      <c r="G142" s="61"/>
      <c r="H142" s="6"/>
      <c r="I142" s="6"/>
      <c r="J142" s="6"/>
      <c r="K142" s="6"/>
      <c r="L142" s="6"/>
      <c r="M142" s="6"/>
      <c r="N142" s="6"/>
      <c r="O142" s="6"/>
      <c r="P142" s="6"/>
      <c r="Q142" s="6"/>
      <c r="R142" s="6"/>
      <c r="S142" s="6"/>
      <c r="T142" s="6"/>
      <c r="U142" s="6"/>
      <c r="V142" s="6"/>
      <c r="W142" s="6"/>
      <c r="X142" s="6"/>
      <c r="Y142" s="6"/>
      <c r="Z142" s="6"/>
    </row>
    <row r="143" ht="14.25" customHeight="1">
      <c r="A143" s="6"/>
      <c r="B143" s="6"/>
      <c r="C143" s="6"/>
      <c r="D143" s="6"/>
      <c r="E143" s="6"/>
      <c r="F143" s="6"/>
      <c r="G143" s="61"/>
      <c r="H143" s="6"/>
      <c r="I143" s="6"/>
      <c r="J143" s="6"/>
      <c r="K143" s="6"/>
      <c r="L143" s="6"/>
      <c r="M143" s="6"/>
      <c r="N143" s="6"/>
      <c r="O143" s="6"/>
      <c r="P143" s="6"/>
      <c r="Q143" s="6"/>
      <c r="R143" s="6"/>
      <c r="S143" s="6"/>
      <c r="T143" s="6"/>
      <c r="U143" s="6"/>
      <c r="V143" s="6"/>
      <c r="W143" s="6"/>
      <c r="X143" s="6"/>
      <c r="Y143" s="6"/>
      <c r="Z143" s="6"/>
    </row>
    <row r="144" ht="14.25" customHeight="1">
      <c r="A144" s="6"/>
      <c r="B144" s="6"/>
      <c r="C144" s="6"/>
      <c r="D144" s="6"/>
      <c r="E144" s="6"/>
      <c r="F144" s="6"/>
      <c r="G144" s="61"/>
      <c r="H144" s="6"/>
      <c r="I144" s="6"/>
      <c r="J144" s="6"/>
      <c r="K144" s="6"/>
      <c r="L144" s="6"/>
      <c r="M144" s="6"/>
      <c r="N144" s="6"/>
      <c r="O144" s="6"/>
      <c r="P144" s="6"/>
      <c r="Q144" s="6"/>
      <c r="R144" s="6"/>
      <c r="S144" s="6"/>
      <c r="T144" s="6"/>
      <c r="U144" s="6"/>
      <c r="V144" s="6"/>
      <c r="W144" s="6"/>
      <c r="X144" s="6"/>
      <c r="Y144" s="6"/>
      <c r="Z144" s="6"/>
    </row>
    <row r="145" ht="14.25" customHeight="1">
      <c r="A145" s="6"/>
      <c r="B145" s="6"/>
      <c r="C145" s="6"/>
      <c r="D145" s="6"/>
      <c r="E145" s="6"/>
      <c r="F145" s="6"/>
      <c r="G145" s="61"/>
      <c r="H145" s="6"/>
      <c r="I145" s="6"/>
      <c r="J145" s="6"/>
      <c r="K145" s="6"/>
      <c r="L145" s="6"/>
      <c r="M145" s="6"/>
      <c r="N145" s="6"/>
      <c r="O145" s="6"/>
      <c r="P145" s="6"/>
      <c r="Q145" s="6"/>
      <c r="R145" s="6"/>
      <c r="S145" s="6"/>
      <c r="T145" s="6"/>
      <c r="U145" s="6"/>
      <c r="V145" s="6"/>
      <c r="W145" s="6"/>
      <c r="X145" s="6"/>
      <c r="Y145" s="6"/>
      <c r="Z145" s="6"/>
    </row>
    <row r="146" ht="14.25" customHeight="1">
      <c r="A146" s="6"/>
      <c r="B146" s="6"/>
      <c r="C146" s="6"/>
      <c r="D146" s="6"/>
      <c r="E146" s="6"/>
      <c r="F146" s="6"/>
      <c r="G146" s="61"/>
      <c r="H146" s="6"/>
      <c r="I146" s="6"/>
      <c r="J146" s="6"/>
      <c r="K146" s="6"/>
      <c r="L146" s="6"/>
      <c r="M146" s="6"/>
      <c r="N146" s="6"/>
      <c r="O146" s="6"/>
      <c r="P146" s="6"/>
      <c r="Q146" s="6"/>
      <c r="R146" s="6"/>
      <c r="S146" s="6"/>
      <c r="T146" s="6"/>
      <c r="U146" s="6"/>
      <c r="V146" s="6"/>
      <c r="W146" s="6"/>
      <c r="X146" s="6"/>
      <c r="Y146" s="6"/>
      <c r="Z146" s="6"/>
    </row>
    <row r="147" ht="14.25" customHeight="1">
      <c r="A147" s="6"/>
      <c r="B147" s="6"/>
      <c r="C147" s="6"/>
      <c r="D147" s="6"/>
      <c r="E147" s="6"/>
      <c r="F147" s="6"/>
      <c r="G147" s="61"/>
      <c r="H147" s="6"/>
      <c r="I147" s="6"/>
      <c r="J147" s="6"/>
      <c r="K147" s="6"/>
      <c r="L147" s="6"/>
      <c r="M147" s="6"/>
      <c r="N147" s="6"/>
      <c r="O147" s="6"/>
      <c r="P147" s="6"/>
      <c r="Q147" s="6"/>
      <c r="R147" s="6"/>
      <c r="S147" s="6"/>
      <c r="T147" s="6"/>
      <c r="U147" s="6"/>
      <c r="V147" s="6"/>
      <c r="W147" s="6"/>
      <c r="X147" s="6"/>
      <c r="Y147" s="6"/>
      <c r="Z147" s="6"/>
    </row>
    <row r="148" ht="14.25" customHeight="1">
      <c r="A148" s="6"/>
      <c r="B148" s="6"/>
      <c r="C148" s="6"/>
      <c r="D148" s="6"/>
      <c r="E148" s="6"/>
      <c r="F148" s="6"/>
      <c r="G148" s="61"/>
      <c r="H148" s="6"/>
      <c r="I148" s="6"/>
      <c r="J148" s="6"/>
      <c r="K148" s="6"/>
      <c r="L148" s="6"/>
      <c r="M148" s="6"/>
      <c r="N148" s="6"/>
      <c r="O148" s="6"/>
      <c r="P148" s="6"/>
      <c r="Q148" s="6"/>
      <c r="R148" s="6"/>
      <c r="S148" s="6"/>
      <c r="T148" s="6"/>
      <c r="U148" s="6"/>
      <c r="V148" s="6"/>
      <c r="W148" s="6"/>
      <c r="X148" s="6"/>
      <c r="Y148" s="6"/>
      <c r="Z148" s="6"/>
    </row>
    <row r="149" ht="14.25" customHeight="1">
      <c r="A149" s="6"/>
      <c r="B149" s="6"/>
      <c r="C149" s="6"/>
      <c r="D149" s="6"/>
      <c r="E149" s="6"/>
      <c r="F149" s="6"/>
      <c r="G149" s="61"/>
      <c r="H149" s="6"/>
      <c r="I149" s="6"/>
      <c r="J149" s="6"/>
      <c r="K149" s="6"/>
      <c r="L149" s="6"/>
      <c r="M149" s="6"/>
      <c r="N149" s="6"/>
      <c r="O149" s="6"/>
      <c r="P149" s="6"/>
      <c r="Q149" s="6"/>
      <c r="R149" s="6"/>
      <c r="S149" s="6"/>
      <c r="T149" s="6"/>
      <c r="U149" s="6"/>
      <c r="V149" s="6"/>
      <c r="W149" s="6"/>
      <c r="X149" s="6"/>
      <c r="Y149" s="6"/>
      <c r="Z149" s="6"/>
    </row>
    <row r="150" ht="14.25" customHeight="1">
      <c r="A150" s="6"/>
      <c r="B150" s="6"/>
      <c r="C150" s="6"/>
      <c r="D150" s="6"/>
      <c r="E150" s="6"/>
      <c r="F150" s="6"/>
      <c r="G150" s="61"/>
      <c r="H150" s="6"/>
      <c r="I150" s="6"/>
      <c r="J150" s="6"/>
      <c r="K150" s="6"/>
      <c r="L150" s="6"/>
      <c r="M150" s="6"/>
      <c r="N150" s="6"/>
      <c r="O150" s="6"/>
      <c r="P150" s="6"/>
      <c r="Q150" s="6"/>
      <c r="R150" s="6"/>
      <c r="S150" s="6"/>
      <c r="T150" s="6"/>
      <c r="U150" s="6"/>
      <c r="V150" s="6"/>
      <c r="W150" s="6"/>
      <c r="X150" s="6"/>
      <c r="Y150" s="6"/>
      <c r="Z150" s="6"/>
    </row>
    <row r="151" ht="14.25" customHeight="1">
      <c r="A151" s="6"/>
      <c r="B151" s="6"/>
      <c r="C151" s="6"/>
      <c r="D151" s="6"/>
      <c r="E151" s="6"/>
      <c r="F151" s="6"/>
      <c r="G151" s="61"/>
      <c r="H151" s="6"/>
      <c r="I151" s="6"/>
      <c r="J151" s="6"/>
      <c r="K151" s="6"/>
      <c r="L151" s="6"/>
      <c r="M151" s="6"/>
      <c r="N151" s="6"/>
      <c r="O151" s="6"/>
      <c r="P151" s="6"/>
      <c r="Q151" s="6"/>
      <c r="R151" s="6"/>
      <c r="S151" s="6"/>
      <c r="T151" s="6"/>
      <c r="U151" s="6"/>
      <c r="V151" s="6"/>
      <c r="W151" s="6"/>
      <c r="X151" s="6"/>
      <c r="Y151" s="6"/>
      <c r="Z151" s="6"/>
    </row>
    <row r="152" ht="14.25" customHeight="1">
      <c r="A152" s="6"/>
      <c r="B152" s="6"/>
      <c r="C152" s="6"/>
      <c r="D152" s="6"/>
      <c r="E152" s="6"/>
      <c r="F152" s="6"/>
      <c r="G152" s="61"/>
      <c r="H152" s="6"/>
      <c r="I152" s="6"/>
      <c r="J152" s="6"/>
      <c r="K152" s="6"/>
      <c r="L152" s="6"/>
      <c r="M152" s="6"/>
      <c r="N152" s="6"/>
      <c r="O152" s="6"/>
      <c r="P152" s="6"/>
      <c r="Q152" s="6"/>
      <c r="R152" s="6"/>
      <c r="S152" s="6"/>
      <c r="T152" s="6"/>
      <c r="U152" s="6"/>
      <c r="V152" s="6"/>
      <c r="W152" s="6"/>
      <c r="X152" s="6"/>
      <c r="Y152" s="6"/>
      <c r="Z152" s="6"/>
    </row>
    <row r="153" ht="14.25" customHeight="1">
      <c r="A153" s="6"/>
      <c r="B153" s="6"/>
      <c r="C153" s="6"/>
      <c r="D153" s="6"/>
      <c r="E153" s="6"/>
      <c r="F153" s="6"/>
      <c r="G153" s="61"/>
      <c r="H153" s="6"/>
      <c r="I153" s="6"/>
      <c r="J153" s="6"/>
      <c r="K153" s="6"/>
      <c r="L153" s="6"/>
      <c r="M153" s="6"/>
      <c r="N153" s="6"/>
      <c r="O153" s="6"/>
      <c r="P153" s="6"/>
      <c r="Q153" s="6"/>
      <c r="R153" s="6"/>
      <c r="S153" s="6"/>
      <c r="T153" s="6"/>
      <c r="U153" s="6"/>
      <c r="V153" s="6"/>
      <c r="W153" s="6"/>
      <c r="X153" s="6"/>
      <c r="Y153" s="6"/>
      <c r="Z153" s="6"/>
    </row>
    <row r="154" ht="14.25" customHeight="1">
      <c r="A154" s="6"/>
      <c r="B154" s="6"/>
      <c r="C154" s="6"/>
      <c r="D154" s="6"/>
      <c r="E154" s="6"/>
      <c r="F154" s="6"/>
      <c r="G154" s="61"/>
      <c r="H154" s="6"/>
      <c r="I154" s="6"/>
      <c r="J154" s="6"/>
      <c r="K154" s="6"/>
      <c r="L154" s="6"/>
      <c r="M154" s="6"/>
      <c r="N154" s="6"/>
      <c r="O154" s="6"/>
      <c r="P154" s="6"/>
      <c r="Q154" s="6"/>
      <c r="R154" s="6"/>
      <c r="S154" s="6"/>
      <c r="T154" s="6"/>
      <c r="U154" s="6"/>
      <c r="V154" s="6"/>
      <c r="W154" s="6"/>
      <c r="X154" s="6"/>
      <c r="Y154" s="6"/>
      <c r="Z154" s="6"/>
    </row>
    <row r="155" ht="14.25" customHeight="1">
      <c r="A155" s="6"/>
      <c r="B155" s="6"/>
      <c r="C155" s="6"/>
      <c r="D155" s="6"/>
      <c r="E155" s="6"/>
      <c r="F155" s="6"/>
      <c r="G155" s="61"/>
      <c r="H155" s="6"/>
      <c r="I155" s="6"/>
      <c r="J155" s="6"/>
      <c r="K155" s="6"/>
      <c r="L155" s="6"/>
      <c r="M155" s="6"/>
      <c r="N155" s="6"/>
      <c r="O155" s="6"/>
      <c r="P155" s="6"/>
      <c r="Q155" s="6"/>
      <c r="R155" s="6"/>
      <c r="S155" s="6"/>
      <c r="T155" s="6"/>
      <c r="U155" s="6"/>
      <c r="V155" s="6"/>
      <c r="W155" s="6"/>
      <c r="X155" s="6"/>
      <c r="Y155" s="6"/>
      <c r="Z155" s="6"/>
    </row>
    <row r="156" ht="14.25" customHeight="1">
      <c r="A156" s="6"/>
      <c r="B156" s="6"/>
      <c r="C156" s="6"/>
      <c r="D156" s="6"/>
      <c r="E156" s="6"/>
      <c r="F156" s="6"/>
      <c r="G156" s="61"/>
      <c r="H156" s="6"/>
      <c r="I156" s="6"/>
      <c r="J156" s="6"/>
      <c r="K156" s="6"/>
      <c r="L156" s="6"/>
      <c r="M156" s="6"/>
      <c r="N156" s="6"/>
      <c r="O156" s="6"/>
      <c r="P156" s="6"/>
      <c r="Q156" s="6"/>
      <c r="R156" s="6"/>
      <c r="S156" s="6"/>
      <c r="T156" s="6"/>
      <c r="U156" s="6"/>
      <c r="V156" s="6"/>
      <c r="W156" s="6"/>
      <c r="X156" s="6"/>
      <c r="Y156" s="6"/>
      <c r="Z156" s="6"/>
    </row>
    <row r="157" ht="14.25" customHeight="1">
      <c r="A157" s="6"/>
      <c r="B157" s="6"/>
      <c r="C157" s="6"/>
      <c r="D157" s="6"/>
      <c r="E157" s="6"/>
      <c r="F157" s="6"/>
      <c r="G157" s="61"/>
      <c r="H157" s="6"/>
      <c r="I157" s="6"/>
      <c r="J157" s="6"/>
      <c r="K157" s="6"/>
      <c r="L157" s="6"/>
      <c r="M157" s="6"/>
      <c r="N157" s="6"/>
      <c r="O157" s="6"/>
      <c r="P157" s="6"/>
      <c r="Q157" s="6"/>
      <c r="R157" s="6"/>
      <c r="S157" s="6"/>
      <c r="T157" s="6"/>
      <c r="U157" s="6"/>
      <c r="V157" s="6"/>
      <c r="W157" s="6"/>
      <c r="X157" s="6"/>
      <c r="Y157" s="6"/>
      <c r="Z157" s="6"/>
    </row>
    <row r="158" ht="14.25" customHeight="1">
      <c r="A158" s="6"/>
      <c r="B158" s="6"/>
      <c r="C158" s="6"/>
      <c r="D158" s="6"/>
      <c r="E158" s="6"/>
      <c r="F158" s="6"/>
      <c r="G158" s="61"/>
      <c r="H158" s="6"/>
      <c r="I158" s="6"/>
      <c r="J158" s="6"/>
      <c r="K158" s="6"/>
      <c r="L158" s="6"/>
      <c r="M158" s="6"/>
      <c r="N158" s="6"/>
      <c r="O158" s="6"/>
      <c r="P158" s="6"/>
      <c r="Q158" s="6"/>
      <c r="R158" s="6"/>
      <c r="S158" s="6"/>
      <c r="T158" s="6"/>
      <c r="U158" s="6"/>
      <c r="V158" s="6"/>
      <c r="W158" s="6"/>
      <c r="X158" s="6"/>
      <c r="Y158" s="6"/>
      <c r="Z158" s="6"/>
    </row>
    <row r="159" ht="14.25" customHeight="1">
      <c r="A159" s="6"/>
      <c r="B159" s="6"/>
      <c r="C159" s="6"/>
      <c r="D159" s="6"/>
      <c r="E159" s="6"/>
      <c r="F159" s="6"/>
      <c r="G159" s="61"/>
      <c r="H159" s="6"/>
      <c r="I159" s="6"/>
      <c r="J159" s="6"/>
      <c r="K159" s="6"/>
      <c r="L159" s="6"/>
      <c r="M159" s="6"/>
      <c r="N159" s="6"/>
      <c r="O159" s="6"/>
      <c r="P159" s="6"/>
      <c r="Q159" s="6"/>
      <c r="R159" s="6"/>
      <c r="S159" s="6"/>
      <c r="T159" s="6"/>
      <c r="U159" s="6"/>
      <c r="V159" s="6"/>
      <c r="W159" s="6"/>
      <c r="X159" s="6"/>
      <c r="Y159" s="6"/>
      <c r="Z159" s="6"/>
    </row>
    <row r="160" ht="14.25" customHeight="1">
      <c r="A160" s="6"/>
      <c r="B160" s="6"/>
      <c r="C160" s="6"/>
      <c r="D160" s="6"/>
      <c r="E160" s="6"/>
      <c r="F160" s="6"/>
      <c r="G160" s="61"/>
      <c r="H160" s="6"/>
      <c r="I160" s="6"/>
      <c r="J160" s="6"/>
      <c r="K160" s="6"/>
      <c r="L160" s="6"/>
      <c r="M160" s="6"/>
      <c r="N160" s="6"/>
      <c r="O160" s="6"/>
      <c r="P160" s="6"/>
      <c r="Q160" s="6"/>
      <c r="R160" s="6"/>
      <c r="S160" s="6"/>
      <c r="T160" s="6"/>
      <c r="U160" s="6"/>
      <c r="V160" s="6"/>
      <c r="W160" s="6"/>
      <c r="X160" s="6"/>
      <c r="Y160" s="6"/>
      <c r="Z160" s="6"/>
    </row>
    <row r="161" ht="14.25" customHeight="1">
      <c r="A161" s="6"/>
      <c r="B161" s="6"/>
      <c r="C161" s="6"/>
      <c r="D161" s="6"/>
      <c r="E161" s="6"/>
      <c r="F161" s="6"/>
      <c r="G161" s="61"/>
      <c r="H161" s="6"/>
      <c r="I161" s="6"/>
      <c r="J161" s="6"/>
      <c r="K161" s="6"/>
      <c r="L161" s="6"/>
      <c r="M161" s="6"/>
      <c r="N161" s="6"/>
      <c r="O161" s="6"/>
      <c r="P161" s="6"/>
      <c r="Q161" s="6"/>
      <c r="R161" s="6"/>
      <c r="S161" s="6"/>
      <c r="T161" s="6"/>
      <c r="U161" s="6"/>
      <c r="V161" s="6"/>
      <c r="W161" s="6"/>
      <c r="X161" s="6"/>
      <c r="Y161" s="6"/>
      <c r="Z161" s="6"/>
    </row>
    <row r="162" ht="14.25" customHeight="1">
      <c r="A162" s="6"/>
      <c r="B162" s="6"/>
      <c r="C162" s="6"/>
      <c r="D162" s="6"/>
      <c r="E162" s="6"/>
      <c r="F162" s="6"/>
      <c r="G162" s="61"/>
      <c r="H162" s="6"/>
      <c r="I162" s="6"/>
      <c r="J162" s="6"/>
      <c r="K162" s="6"/>
      <c r="L162" s="6"/>
      <c r="M162" s="6"/>
      <c r="N162" s="6"/>
      <c r="O162" s="6"/>
      <c r="P162" s="6"/>
      <c r="Q162" s="6"/>
      <c r="R162" s="6"/>
      <c r="S162" s="6"/>
      <c r="T162" s="6"/>
      <c r="U162" s="6"/>
      <c r="V162" s="6"/>
      <c r="W162" s="6"/>
      <c r="X162" s="6"/>
      <c r="Y162" s="6"/>
      <c r="Z162" s="6"/>
    </row>
    <row r="163" ht="14.25" customHeight="1">
      <c r="A163" s="6"/>
      <c r="B163" s="6"/>
      <c r="C163" s="6"/>
      <c r="D163" s="6"/>
      <c r="E163" s="6"/>
      <c r="F163" s="6"/>
      <c r="G163" s="61"/>
      <c r="H163" s="6"/>
      <c r="I163" s="6"/>
      <c r="J163" s="6"/>
      <c r="K163" s="6"/>
      <c r="L163" s="6"/>
      <c r="M163" s="6"/>
      <c r="N163" s="6"/>
      <c r="O163" s="6"/>
      <c r="P163" s="6"/>
      <c r="Q163" s="6"/>
      <c r="R163" s="6"/>
      <c r="S163" s="6"/>
      <c r="T163" s="6"/>
      <c r="U163" s="6"/>
      <c r="V163" s="6"/>
      <c r="W163" s="6"/>
      <c r="X163" s="6"/>
      <c r="Y163" s="6"/>
      <c r="Z163" s="6"/>
    </row>
    <row r="164" ht="14.25" customHeight="1">
      <c r="A164" s="6"/>
      <c r="B164" s="6"/>
      <c r="C164" s="6"/>
      <c r="D164" s="6"/>
      <c r="E164" s="6"/>
      <c r="F164" s="6"/>
      <c r="G164" s="61"/>
      <c r="H164" s="6"/>
      <c r="I164" s="6"/>
      <c r="J164" s="6"/>
      <c r="K164" s="6"/>
      <c r="L164" s="6"/>
      <c r="M164" s="6"/>
      <c r="N164" s="6"/>
      <c r="O164" s="6"/>
      <c r="P164" s="6"/>
      <c r="Q164" s="6"/>
      <c r="R164" s="6"/>
      <c r="S164" s="6"/>
      <c r="T164" s="6"/>
      <c r="U164" s="6"/>
      <c r="V164" s="6"/>
      <c r="W164" s="6"/>
      <c r="X164" s="6"/>
      <c r="Y164" s="6"/>
      <c r="Z164" s="6"/>
    </row>
    <row r="165" ht="14.25" customHeight="1">
      <c r="A165" s="6"/>
      <c r="B165" s="6"/>
      <c r="C165" s="6"/>
      <c r="D165" s="6"/>
      <c r="E165" s="6"/>
      <c r="F165" s="6"/>
      <c r="G165" s="61"/>
      <c r="H165" s="6"/>
      <c r="I165" s="6"/>
      <c r="J165" s="6"/>
      <c r="K165" s="6"/>
      <c r="L165" s="6"/>
      <c r="M165" s="6"/>
      <c r="N165" s="6"/>
      <c r="O165" s="6"/>
      <c r="P165" s="6"/>
      <c r="Q165" s="6"/>
      <c r="R165" s="6"/>
      <c r="S165" s="6"/>
      <c r="T165" s="6"/>
      <c r="U165" s="6"/>
      <c r="V165" s="6"/>
      <c r="W165" s="6"/>
      <c r="X165" s="6"/>
      <c r="Y165" s="6"/>
      <c r="Z165" s="6"/>
    </row>
    <row r="166" ht="14.25" customHeight="1">
      <c r="A166" s="6"/>
      <c r="B166" s="6"/>
      <c r="C166" s="6"/>
      <c r="D166" s="6"/>
      <c r="E166" s="6"/>
      <c r="F166" s="6"/>
      <c r="G166" s="61"/>
      <c r="H166" s="6"/>
      <c r="I166" s="6"/>
      <c r="J166" s="6"/>
      <c r="K166" s="6"/>
      <c r="L166" s="6"/>
      <c r="M166" s="6"/>
      <c r="N166" s="6"/>
      <c r="O166" s="6"/>
      <c r="P166" s="6"/>
      <c r="Q166" s="6"/>
      <c r="R166" s="6"/>
      <c r="S166" s="6"/>
      <c r="T166" s="6"/>
      <c r="U166" s="6"/>
      <c r="V166" s="6"/>
      <c r="W166" s="6"/>
      <c r="X166" s="6"/>
      <c r="Y166" s="6"/>
      <c r="Z166" s="6"/>
    </row>
    <row r="167" ht="14.25" customHeight="1">
      <c r="A167" s="6"/>
      <c r="B167" s="6"/>
      <c r="C167" s="6"/>
      <c r="D167" s="6"/>
      <c r="E167" s="6"/>
      <c r="F167" s="6"/>
      <c r="G167" s="61"/>
      <c r="H167" s="6"/>
      <c r="I167" s="6"/>
      <c r="J167" s="6"/>
      <c r="K167" s="6"/>
      <c r="L167" s="6"/>
      <c r="M167" s="6"/>
      <c r="N167" s="6"/>
      <c r="O167" s="6"/>
      <c r="P167" s="6"/>
      <c r="Q167" s="6"/>
      <c r="R167" s="6"/>
      <c r="S167" s="6"/>
      <c r="T167" s="6"/>
      <c r="U167" s="6"/>
      <c r="V167" s="6"/>
      <c r="W167" s="6"/>
      <c r="X167" s="6"/>
      <c r="Y167" s="6"/>
      <c r="Z167" s="6"/>
    </row>
    <row r="168" ht="14.25" customHeight="1">
      <c r="A168" s="6"/>
      <c r="B168" s="6"/>
      <c r="C168" s="6"/>
      <c r="D168" s="6"/>
      <c r="E168" s="6"/>
      <c r="F168" s="6"/>
      <c r="G168" s="61"/>
      <c r="H168" s="6"/>
      <c r="I168" s="6"/>
      <c r="J168" s="6"/>
      <c r="K168" s="6"/>
      <c r="L168" s="6"/>
      <c r="M168" s="6"/>
      <c r="N168" s="6"/>
      <c r="O168" s="6"/>
      <c r="P168" s="6"/>
      <c r="Q168" s="6"/>
      <c r="R168" s="6"/>
      <c r="S168" s="6"/>
      <c r="T168" s="6"/>
      <c r="U168" s="6"/>
      <c r="V168" s="6"/>
      <c r="W168" s="6"/>
      <c r="X168" s="6"/>
      <c r="Y168" s="6"/>
      <c r="Z168" s="6"/>
    </row>
    <row r="169" ht="14.25" customHeight="1">
      <c r="A169" s="6"/>
      <c r="B169" s="6"/>
      <c r="C169" s="6"/>
      <c r="D169" s="6"/>
      <c r="E169" s="6"/>
      <c r="F169" s="6"/>
      <c r="G169" s="61"/>
      <c r="H169" s="6"/>
      <c r="I169" s="6"/>
      <c r="J169" s="6"/>
      <c r="K169" s="6"/>
      <c r="L169" s="6"/>
      <c r="M169" s="6"/>
      <c r="N169" s="6"/>
      <c r="O169" s="6"/>
      <c r="P169" s="6"/>
      <c r="Q169" s="6"/>
      <c r="R169" s="6"/>
      <c r="S169" s="6"/>
      <c r="T169" s="6"/>
      <c r="U169" s="6"/>
      <c r="V169" s="6"/>
      <c r="W169" s="6"/>
      <c r="X169" s="6"/>
      <c r="Y169" s="6"/>
      <c r="Z169" s="6"/>
    </row>
    <row r="170" ht="14.25" customHeight="1">
      <c r="A170" s="6"/>
      <c r="B170" s="6"/>
      <c r="C170" s="6"/>
      <c r="D170" s="6"/>
      <c r="E170" s="6"/>
      <c r="F170" s="6"/>
      <c r="G170" s="61"/>
      <c r="H170" s="6"/>
      <c r="I170" s="6"/>
      <c r="J170" s="6"/>
      <c r="K170" s="6"/>
      <c r="L170" s="6"/>
      <c r="M170" s="6"/>
      <c r="N170" s="6"/>
      <c r="O170" s="6"/>
      <c r="P170" s="6"/>
      <c r="Q170" s="6"/>
      <c r="R170" s="6"/>
      <c r="S170" s="6"/>
      <c r="T170" s="6"/>
      <c r="U170" s="6"/>
      <c r="V170" s="6"/>
      <c r="W170" s="6"/>
      <c r="X170" s="6"/>
      <c r="Y170" s="6"/>
      <c r="Z170" s="6"/>
    </row>
    <row r="171" ht="14.25" customHeight="1">
      <c r="A171" s="6"/>
      <c r="B171" s="6"/>
      <c r="C171" s="6"/>
      <c r="D171" s="6"/>
      <c r="E171" s="6"/>
      <c r="F171" s="6"/>
      <c r="G171" s="61"/>
      <c r="H171" s="6"/>
      <c r="I171" s="6"/>
      <c r="J171" s="6"/>
      <c r="K171" s="6"/>
      <c r="L171" s="6"/>
      <c r="M171" s="6"/>
      <c r="N171" s="6"/>
      <c r="O171" s="6"/>
      <c r="P171" s="6"/>
      <c r="Q171" s="6"/>
      <c r="R171" s="6"/>
      <c r="S171" s="6"/>
      <c r="T171" s="6"/>
      <c r="U171" s="6"/>
      <c r="V171" s="6"/>
      <c r="W171" s="6"/>
      <c r="X171" s="6"/>
      <c r="Y171" s="6"/>
      <c r="Z171" s="6"/>
    </row>
    <row r="172" ht="14.25" customHeight="1">
      <c r="A172" s="6"/>
      <c r="B172" s="6"/>
      <c r="C172" s="6"/>
      <c r="D172" s="6"/>
      <c r="E172" s="6"/>
      <c r="F172" s="6"/>
      <c r="G172" s="61"/>
      <c r="H172" s="6"/>
      <c r="I172" s="6"/>
      <c r="J172" s="6"/>
      <c r="K172" s="6"/>
      <c r="L172" s="6"/>
      <c r="M172" s="6"/>
      <c r="N172" s="6"/>
      <c r="O172" s="6"/>
      <c r="P172" s="6"/>
      <c r="Q172" s="6"/>
      <c r="R172" s="6"/>
      <c r="S172" s="6"/>
      <c r="T172" s="6"/>
      <c r="U172" s="6"/>
      <c r="V172" s="6"/>
      <c r="W172" s="6"/>
      <c r="X172" s="6"/>
      <c r="Y172" s="6"/>
      <c r="Z172" s="6"/>
    </row>
    <row r="173" ht="14.25" customHeight="1">
      <c r="A173" s="6"/>
      <c r="B173" s="6"/>
      <c r="C173" s="6"/>
      <c r="D173" s="6"/>
      <c r="E173" s="6"/>
      <c r="F173" s="6"/>
      <c r="G173" s="61"/>
      <c r="H173" s="6"/>
      <c r="I173" s="6"/>
      <c r="J173" s="6"/>
      <c r="K173" s="6"/>
      <c r="L173" s="6"/>
      <c r="M173" s="6"/>
      <c r="N173" s="6"/>
      <c r="O173" s="6"/>
      <c r="P173" s="6"/>
      <c r="Q173" s="6"/>
      <c r="R173" s="6"/>
      <c r="S173" s="6"/>
      <c r="T173" s="6"/>
      <c r="U173" s="6"/>
      <c r="V173" s="6"/>
      <c r="W173" s="6"/>
      <c r="X173" s="6"/>
      <c r="Y173" s="6"/>
      <c r="Z173" s="6"/>
    </row>
    <row r="174" ht="14.25" customHeight="1">
      <c r="A174" s="6"/>
      <c r="B174" s="6"/>
      <c r="C174" s="6"/>
      <c r="D174" s="6"/>
      <c r="E174" s="6"/>
      <c r="F174" s="6"/>
      <c r="G174" s="61"/>
      <c r="H174" s="6"/>
      <c r="I174" s="6"/>
      <c r="J174" s="6"/>
      <c r="K174" s="6"/>
      <c r="L174" s="6"/>
      <c r="M174" s="6"/>
      <c r="N174" s="6"/>
      <c r="O174" s="6"/>
      <c r="P174" s="6"/>
      <c r="Q174" s="6"/>
      <c r="R174" s="6"/>
      <c r="S174" s="6"/>
      <c r="T174" s="6"/>
      <c r="U174" s="6"/>
      <c r="V174" s="6"/>
      <c r="W174" s="6"/>
      <c r="X174" s="6"/>
      <c r="Y174" s="6"/>
      <c r="Z174" s="6"/>
    </row>
    <row r="175" ht="14.25" customHeight="1">
      <c r="A175" s="6"/>
      <c r="B175" s="6"/>
      <c r="C175" s="6"/>
      <c r="D175" s="6"/>
      <c r="E175" s="6"/>
      <c r="F175" s="6"/>
      <c r="G175" s="61"/>
      <c r="H175" s="6"/>
      <c r="I175" s="6"/>
      <c r="J175" s="6"/>
      <c r="K175" s="6"/>
      <c r="L175" s="6"/>
      <c r="M175" s="6"/>
      <c r="N175" s="6"/>
      <c r="O175" s="6"/>
      <c r="P175" s="6"/>
      <c r="Q175" s="6"/>
      <c r="R175" s="6"/>
      <c r="S175" s="6"/>
      <c r="T175" s="6"/>
      <c r="U175" s="6"/>
      <c r="V175" s="6"/>
      <c r="W175" s="6"/>
      <c r="X175" s="6"/>
      <c r="Y175" s="6"/>
      <c r="Z175" s="6"/>
    </row>
    <row r="176" ht="14.25" customHeight="1">
      <c r="A176" s="6"/>
      <c r="B176" s="6"/>
      <c r="C176" s="6"/>
      <c r="D176" s="6"/>
      <c r="E176" s="6"/>
      <c r="F176" s="6"/>
      <c r="G176" s="61"/>
      <c r="H176" s="6"/>
      <c r="I176" s="6"/>
      <c r="J176" s="6"/>
      <c r="K176" s="6"/>
      <c r="L176" s="6"/>
      <c r="M176" s="6"/>
      <c r="N176" s="6"/>
      <c r="O176" s="6"/>
      <c r="P176" s="6"/>
      <c r="Q176" s="6"/>
      <c r="R176" s="6"/>
      <c r="S176" s="6"/>
      <c r="T176" s="6"/>
      <c r="U176" s="6"/>
      <c r="V176" s="6"/>
      <c r="W176" s="6"/>
      <c r="X176" s="6"/>
      <c r="Y176" s="6"/>
      <c r="Z176" s="6"/>
    </row>
    <row r="177" ht="14.25" customHeight="1">
      <c r="A177" s="6"/>
      <c r="B177" s="6"/>
      <c r="C177" s="6"/>
      <c r="D177" s="6"/>
      <c r="E177" s="6"/>
      <c r="F177" s="6"/>
      <c r="G177" s="61"/>
      <c r="H177" s="6"/>
      <c r="I177" s="6"/>
      <c r="J177" s="6"/>
      <c r="K177" s="6"/>
      <c r="L177" s="6"/>
      <c r="M177" s="6"/>
      <c r="N177" s="6"/>
      <c r="O177" s="6"/>
      <c r="P177" s="6"/>
      <c r="Q177" s="6"/>
      <c r="R177" s="6"/>
      <c r="S177" s="6"/>
      <c r="T177" s="6"/>
      <c r="U177" s="6"/>
      <c r="V177" s="6"/>
      <c r="W177" s="6"/>
      <c r="X177" s="6"/>
      <c r="Y177" s="6"/>
      <c r="Z177" s="6"/>
    </row>
    <row r="178" ht="14.25" customHeight="1">
      <c r="A178" s="6"/>
      <c r="B178" s="6"/>
      <c r="C178" s="6"/>
      <c r="D178" s="6"/>
      <c r="E178" s="6"/>
      <c r="F178" s="6"/>
      <c r="G178" s="61"/>
      <c r="H178" s="6"/>
      <c r="I178" s="6"/>
      <c r="J178" s="6"/>
      <c r="K178" s="6"/>
      <c r="L178" s="6"/>
      <c r="M178" s="6"/>
      <c r="N178" s="6"/>
      <c r="O178" s="6"/>
      <c r="P178" s="6"/>
      <c r="Q178" s="6"/>
      <c r="R178" s="6"/>
      <c r="S178" s="6"/>
      <c r="T178" s="6"/>
      <c r="U178" s="6"/>
      <c r="V178" s="6"/>
      <c r="W178" s="6"/>
      <c r="X178" s="6"/>
      <c r="Y178" s="6"/>
      <c r="Z178" s="6"/>
    </row>
    <row r="179" ht="14.25" customHeight="1">
      <c r="A179" s="6"/>
      <c r="B179" s="6"/>
      <c r="C179" s="6"/>
      <c r="D179" s="6"/>
      <c r="E179" s="6"/>
      <c r="F179" s="6"/>
      <c r="G179" s="61"/>
      <c r="H179" s="6"/>
      <c r="I179" s="6"/>
      <c r="J179" s="6"/>
      <c r="K179" s="6"/>
      <c r="L179" s="6"/>
      <c r="M179" s="6"/>
      <c r="N179" s="6"/>
      <c r="O179" s="6"/>
      <c r="P179" s="6"/>
      <c r="Q179" s="6"/>
      <c r="R179" s="6"/>
      <c r="S179" s="6"/>
      <c r="T179" s="6"/>
      <c r="U179" s="6"/>
      <c r="V179" s="6"/>
      <c r="W179" s="6"/>
      <c r="X179" s="6"/>
      <c r="Y179" s="6"/>
      <c r="Z179" s="6"/>
    </row>
    <row r="180" ht="14.25" customHeight="1">
      <c r="A180" s="6"/>
      <c r="B180" s="6"/>
      <c r="C180" s="6"/>
      <c r="D180" s="6"/>
      <c r="E180" s="6"/>
      <c r="F180" s="6"/>
      <c r="G180" s="61"/>
      <c r="H180" s="6"/>
      <c r="I180" s="6"/>
      <c r="J180" s="6"/>
      <c r="K180" s="6"/>
      <c r="L180" s="6"/>
      <c r="M180" s="6"/>
      <c r="N180" s="6"/>
      <c r="O180" s="6"/>
      <c r="P180" s="6"/>
      <c r="Q180" s="6"/>
      <c r="R180" s="6"/>
      <c r="S180" s="6"/>
      <c r="T180" s="6"/>
      <c r="U180" s="6"/>
      <c r="V180" s="6"/>
      <c r="W180" s="6"/>
      <c r="X180" s="6"/>
      <c r="Y180" s="6"/>
      <c r="Z180" s="6"/>
    </row>
    <row r="181" ht="14.25" customHeight="1">
      <c r="A181" s="6"/>
      <c r="B181" s="6"/>
      <c r="C181" s="6"/>
      <c r="D181" s="6"/>
      <c r="E181" s="6"/>
      <c r="F181" s="6"/>
      <c r="G181" s="61"/>
      <c r="H181" s="6"/>
      <c r="I181" s="6"/>
      <c r="J181" s="6"/>
      <c r="K181" s="6"/>
      <c r="L181" s="6"/>
      <c r="M181" s="6"/>
      <c r="N181" s="6"/>
      <c r="O181" s="6"/>
      <c r="P181" s="6"/>
      <c r="Q181" s="6"/>
      <c r="R181" s="6"/>
      <c r="S181" s="6"/>
      <c r="T181" s="6"/>
      <c r="U181" s="6"/>
      <c r="V181" s="6"/>
      <c r="W181" s="6"/>
      <c r="X181" s="6"/>
      <c r="Y181" s="6"/>
      <c r="Z181" s="6"/>
    </row>
    <row r="182" ht="14.25" customHeight="1">
      <c r="A182" s="6"/>
      <c r="B182" s="6"/>
      <c r="C182" s="6"/>
      <c r="D182" s="6"/>
      <c r="E182" s="6"/>
      <c r="F182" s="6"/>
      <c r="G182" s="61"/>
      <c r="H182" s="6"/>
      <c r="I182" s="6"/>
      <c r="J182" s="6"/>
      <c r="K182" s="6"/>
      <c r="L182" s="6"/>
      <c r="M182" s="6"/>
      <c r="N182" s="6"/>
      <c r="O182" s="6"/>
      <c r="P182" s="6"/>
      <c r="Q182" s="6"/>
      <c r="R182" s="6"/>
      <c r="S182" s="6"/>
      <c r="T182" s="6"/>
      <c r="U182" s="6"/>
      <c r="V182" s="6"/>
      <c r="W182" s="6"/>
      <c r="X182" s="6"/>
      <c r="Y182" s="6"/>
      <c r="Z182" s="6"/>
    </row>
    <row r="183" ht="14.25" customHeight="1">
      <c r="A183" s="6"/>
      <c r="B183" s="6"/>
      <c r="C183" s="6"/>
      <c r="D183" s="6"/>
      <c r="E183" s="6"/>
      <c r="F183" s="6"/>
      <c r="G183" s="61"/>
      <c r="H183" s="6"/>
      <c r="I183" s="6"/>
      <c r="J183" s="6"/>
      <c r="K183" s="6"/>
      <c r="L183" s="6"/>
      <c r="M183" s="6"/>
      <c r="N183" s="6"/>
      <c r="O183" s="6"/>
      <c r="P183" s="6"/>
      <c r="Q183" s="6"/>
      <c r="R183" s="6"/>
      <c r="S183" s="6"/>
      <c r="T183" s="6"/>
      <c r="U183" s="6"/>
      <c r="V183" s="6"/>
      <c r="W183" s="6"/>
      <c r="X183" s="6"/>
      <c r="Y183" s="6"/>
      <c r="Z183" s="6"/>
    </row>
    <row r="184" ht="14.25" customHeight="1">
      <c r="A184" s="6"/>
      <c r="B184" s="6"/>
      <c r="C184" s="6"/>
      <c r="D184" s="6"/>
      <c r="E184" s="6"/>
      <c r="F184" s="6"/>
      <c r="G184" s="61"/>
      <c r="H184" s="6"/>
      <c r="I184" s="6"/>
      <c r="J184" s="6"/>
      <c r="K184" s="6"/>
      <c r="L184" s="6"/>
      <c r="M184" s="6"/>
      <c r="N184" s="6"/>
      <c r="O184" s="6"/>
      <c r="P184" s="6"/>
      <c r="Q184" s="6"/>
      <c r="R184" s="6"/>
      <c r="S184" s="6"/>
      <c r="T184" s="6"/>
      <c r="U184" s="6"/>
      <c r="V184" s="6"/>
      <c r="W184" s="6"/>
      <c r="X184" s="6"/>
      <c r="Y184" s="6"/>
      <c r="Z184" s="6"/>
    </row>
    <row r="185" ht="14.25" customHeight="1">
      <c r="A185" s="6"/>
      <c r="B185" s="6"/>
      <c r="C185" s="6"/>
      <c r="D185" s="6"/>
      <c r="E185" s="6"/>
      <c r="F185" s="6"/>
      <c r="G185" s="61"/>
      <c r="H185" s="6"/>
      <c r="I185" s="6"/>
      <c r="J185" s="6"/>
      <c r="K185" s="6"/>
      <c r="L185" s="6"/>
      <c r="M185" s="6"/>
      <c r="N185" s="6"/>
      <c r="O185" s="6"/>
      <c r="P185" s="6"/>
      <c r="Q185" s="6"/>
      <c r="R185" s="6"/>
      <c r="S185" s="6"/>
      <c r="T185" s="6"/>
      <c r="U185" s="6"/>
      <c r="V185" s="6"/>
      <c r="W185" s="6"/>
      <c r="X185" s="6"/>
      <c r="Y185" s="6"/>
      <c r="Z185" s="6"/>
    </row>
    <row r="186" ht="14.25" customHeight="1">
      <c r="A186" s="6"/>
      <c r="B186" s="6"/>
      <c r="C186" s="6"/>
      <c r="D186" s="6"/>
      <c r="E186" s="6"/>
      <c r="F186" s="6"/>
      <c r="G186" s="61"/>
      <c r="H186" s="6"/>
      <c r="I186" s="6"/>
      <c r="J186" s="6"/>
      <c r="K186" s="6"/>
      <c r="L186" s="6"/>
      <c r="M186" s="6"/>
      <c r="N186" s="6"/>
      <c r="O186" s="6"/>
      <c r="P186" s="6"/>
      <c r="Q186" s="6"/>
      <c r="R186" s="6"/>
      <c r="S186" s="6"/>
      <c r="T186" s="6"/>
      <c r="U186" s="6"/>
      <c r="V186" s="6"/>
      <c r="W186" s="6"/>
      <c r="X186" s="6"/>
      <c r="Y186" s="6"/>
      <c r="Z186" s="6"/>
    </row>
    <row r="187" ht="14.25" customHeight="1">
      <c r="A187" s="6"/>
      <c r="B187" s="6"/>
      <c r="C187" s="6"/>
      <c r="D187" s="6"/>
      <c r="E187" s="6"/>
      <c r="F187" s="6"/>
      <c r="G187" s="61"/>
      <c r="H187" s="6"/>
      <c r="I187" s="6"/>
      <c r="J187" s="6"/>
      <c r="K187" s="6"/>
      <c r="L187" s="6"/>
      <c r="M187" s="6"/>
      <c r="N187" s="6"/>
      <c r="O187" s="6"/>
      <c r="P187" s="6"/>
      <c r="Q187" s="6"/>
      <c r="R187" s="6"/>
      <c r="S187" s="6"/>
      <c r="T187" s="6"/>
      <c r="U187" s="6"/>
      <c r="V187" s="6"/>
      <c r="W187" s="6"/>
      <c r="X187" s="6"/>
      <c r="Y187" s="6"/>
      <c r="Z187" s="6"/>
    </row>
    <row r="188" ht="14.25" customHeight="1">
      <c r="A188" s="6"/>
      <c r="B188" s="6"/>
      <c r="C188" s="6"/>
      <c r="D188" s="6"/>
      <c r="E188" s="6"/>
      <c r="F188" s="6"/>
      <c r="G188" s="61"/>
      <c r="H188" s="6"/>
      <c r="I188" s="6"/>
      <c r="J188" s="6"/>
      <c r="K188" s="6"/>
      <c r="L188" s="6"/>
      <c r="M188" s="6"/>
      <c r="N188" s="6"/>
      <c r="O188" s="6"/>
      <c r="P188" s="6"/>
      <c r="Q188" s="6"/>
      <c r="R188" s="6"/>
      <c r="S188" s="6"/>
      <c r="T188" s="6"/>
      <c r="U188" s="6"/>
      <c r="V188" s="6"/>
      <c r="W188" s="6"/>
      <c r="X188" s="6"/>
      <c r="Y188" s="6"/>
      <c r="Z188" s="6"/>
    </row>
    <row r="189" ht="14.25" customHeight="1">
      <c r="A189" s="6"/>
      <c r="B189" s="6"/>
      <c r="C189" s="6"/>
      <c r="D189" s="6"/>
      <c r="E189" s="6"/>
      <c r="F189" s="6"/>
      <c r="G189" s="61"/>
      <c r="H189" s="6"/>
      <c r="I189" s="6"/>
      <c r="J189" s="6"/>
      <c r="K189" s="6"/>
      <c r="L189" s="6"/>
      <c r="M189" s="6"/>
      <c r="N189" s="6"/>
      <c r="O189" s="6"/>
      <c r="P189" s="6"/>
      <c r="Q189" s="6"/>
      <c r="R189" s="6"/>
      <c r="S189" s="6"/>
      <c r="T189" s="6"/>
      <c r="U189" s="6"/>
      <c r="V189" s="6"/>
      <c r="W189" s="6"/>
      <c r="X189" s="6"/>
      <c r="Y189" s="6"/>
      <c r="Z189" s="6"/>
    </row>
    <row r="190" ht="14.25" customHeight="1">
      <c r="A190" s="6"/>
      <c r="B190" s="6"/>
      <c r="C190" s="6"/>
      <c r="D190" s="6"/>
      <c r="E190" s="6"/>
      <c r="F190" s="6"/>
      <c r="G190" s="61"/>
      <c r="H190" s="6"/>
      <c r="I190" s="6"/>
      <c r="J190" s="6"/>
      <c r="K190" s="6"/>
      <c r="L190" s="6"/>
      <c r="M190" s="6"/>
      <c r="N190" s="6"/>
      <c r="O190" s="6"/>
      <c r="P190" s="6"/>
      <c r="Q190" s="6"/>
      <c r="R190" s="6"/>
      <c r="S190" s="6"/>
      <c r="T190" s="6"/>
      <c r="U190" s="6"/>
      <c r="V190" s="6"/>
      <c r="W190" s="6"/>
      <c r="X190" s="6"/>
      <c r="Y190" s="6"/>
      <c r="Z190" s="6"/>
    </row>
    <row r="191" ht="14.25" customHeight="1">
      <c r="A191" s="6"/>
      <c r="B191" s="6"/>
      <c r="C191" s="6"/>
      <c r="D191" s="6"/>
      <c r="E191" s="6"/>
      <c r="F191" s="6"/>
      <c r="G191" s="61"/>
      <c r="H191" s="6"/>
      <c r="I191" s="6"/>
      <c r="J191" s="6"/>
      <c r="K191" s="6"/>
      <c r="L191" s="6"/>
      <c r="M191" s="6"/>
      <c r="N191" s="6"/>
      <c r="O191" s="6"/>
      <c r="P191" s="6"/>
      <c r="Q191" s="6"/>
      <c r="R191" s="6"/>
      <c r="S191" s="6"/>
      <c r="T191" s="6"/>
      <c r="U191" s="6"/>
      <c r="V191" s="6"/>
      <c r="W191" s="6"/>
      <c r="X191" s="6"/>
      <c r="Y191" s="6"/>
      <c r="Z191" s="6"/>
    </row>
    <row r="192" ht="14.25" customHeight="1">
      <c r="A192" s="6"/>
      <c r="B192" s="6"/>
      <c r="C192" s="6"/>
      <c r="D192" s="6"/>
      <c r="E192" s="6"/>
      <c r="F192" s="6"/>
      <c r="G192" s="61"/>
      <c r="H192" s="6"/>
      <c r="I192" s="6"/>
      <c r="J192" s="6"/>
      <c r="K192" s="6"/>
      <c r="L192" s="6"/>
      <c r="M192" s="6"/>
      <c r="N192" s="6"/>
      <c r="O192" s="6"/>
      <c r="P192" s="6"/>
      <c r="Q192" s="6"/>
      <c r="R192" s="6"/>
      <c r="S192" s="6"/>
      <c r="T192" s="6"/>
      <c r="U192" s="6"/>
      <c r="V192" s="6"/>
      <c r="W192" s="6"/>
      <c r="X192" s="6"/>
      <c r="Y192" s="6"/>
      <c r="Z192" s="6"/>
    </row>
    <row r="193" ht="14.25" customHeight="1">
      <c r="A193" s="6"/>
      <c r="B193" s="6"/>
      <c r="C193" s="6"/>
      <c r="D193" s="6"/>
      <c r="E193" s="6"/>
      <c r="F193" s="6"/>
      <c r="G193" s="61"/>
      <c r="H193" s="6"/>
      <c r="I193" s="6"/>
      <c r="J193" s="6"/>
      <c r="K193" s="6"/>
      <c r="L193" s="6"/>
      <c r="M193" s="6"/>
      <c r="N193" s="6"/>
      <c r="O193" s="6"/>
      <c r="P193" s="6"/>
      <c r="Q193" s="6"/>
      <c r="R193" s="6"/>
      <c r="S193" s="6"/>
      <c r="T193" s="6"/>
      <c r="U193" s="6"/>
      <c r="V193" s="6"/>
      <c r="W193" s="6"/>
      <c r="X193" s="6"/>
      <c r="Y193" s="6"/>
      <c r="Z193" s="6"/>
    </row>
    <row r="194" ht="14.25" customHeight="1">
      <c r="A194" s="6"/>
      <c r="B194" s="6"/>
      <c r="C194" s="6"/>
      <c r="D194" s="6"/>
      <c r="E194" s="6"/>
      <c r="F194" s="6"/>
      <c r="G194" s="61"/>
      <c r="H194" s="6"/>
      <c r="I194" s="6"/>
      <c r="J194" s="6"/>
      <c r="K194" s="6"/>
      <c r="L194" s="6"/>
      <c r="M194" s="6"/>
      <c r="N194" s="6"/>
      <c r="O194" s="6"/>
      <c r="P194" s="6"/>
      <c r="Q194" s="6"/>
      <c r="R194" s="6"/>
      <c r="S194" s="6"/>
      <c r="T194" s="6"/>
      <c r="U194" s="6"/>
      <c r="V194" s="6"/>
      <c r="W194" s="6"/>
      <c r="X194" s="6"/>
      <c r="Y194" s="6"/>
      <c r="Z194" s="6"/>
    </row>
    <row r="195" ht="14.25" customHeight="1">
      <c r="A195" s="6"/>
      <c r="B195" s="6"/>
      <c r="C195" s="6"/>
      <c r="D195" s="6"/>
      <c r="E195" s="6"/>
      <c r="F195" s="6"/>
      <c r="G195" s="61"/>
      <c r="H195" s="6"/>
      <c r="I195" s="6"/>
      <c r="J195" s="6"/>
      <c r="K195" s="6"/>
      <c r="L195" s="6"/>
      <c r="M195" s="6"/>
      <c r="N195" s="6"/>
      <c r="O195" s="6"/>
      <c r="P195" s="6"/>
      <c r="Q195" s="6"/>
      <c r="R195" s="6"/>
      <c r="S195" s="6"/>
      <c r="T195" s="6"/>
      <c r="U195" s="6"/>
      <c r="V195" s="6"/>
      <c r="W195" s="6"/>
      <c r="X195" s="6"/>
      <c r="Y195" s="6"/>
      <c r="Z195" s="6"/>
    </row>
    <row r="196" ht="14.25" customHeight="1">
      <c r="A196" s="6"/>
      <c r="B196" s="6"/>
      <c r="C196" s="6"/>
      <c r="D196" s="6"/>
      <c r="E196" s="6"/>
      <c r="F196" s="6"/>
      <c r="G196" s="61"/>
      <c r="H196" s="6"/>
      <c r="I196" s="6"/>
      <c r="J196" s="6"/>
      <c r="K196" s="6"/>
      <c r="L196" s="6"/>
      <c r="M196" s="6"/>
      <c r="N196" s="6"/>
      <c r="O196" s="6"/>
      <c r="P196" s="6"/>
      <c r="Q196" s="6"/>
      <c r="R196" s="6"/>
      <c r="S196" s="6"/>
      <c r="T196" s="6"/>
      <c r="U196" s="6"/>
      <c r="V196" s="6"/>
      <c r="W196" s="6"/>
      <c r="X196" s="6"/>
      <c r="Y196" s="6"/>
      <c r="Z196" s="6"/>
    </row>
    <row r="197" ht="14.25" customHeight="1">
      <c r="A197" s="6"/>
      <c r="B197" s="6"/>
      <c r="C197" s="6"/>
      <c r="D197" s="6"/>
      <c r="E197" s="6"/>
      <c r="F197" s="6"/>
      <c r="G197" s="61"/>
      <c r="H197" s="6"/>
      <c r="I197" s="6"/>
      <c r="J197" s="6"/>
      <c r="K197" s="6"/>
      <c r="L197" s="6"/>
      <c r="M197" s="6"/>
      <c r="N197" s="6"/>
      <c r="O197" s="6"/>
      <c r="P197" s="6"/>
      <c r="Q197" s="6"/>
      <c r="R197" s="6"/>
      <c r="S197" s="6"/>
      <c r="T197" s="6"/>
      <c r="U197" s="6"/>
      <c r="V197" s="6"/>
      <c r="W197" s="6"/>
      <c r="X197" s="6"/>
      <c r="Y197" s="6"/>
      <c r="Z197" s="6"/>
    </row>
    <row r="198" ht="14.25" customHeight="1">
      <c r="A198" s="6"/>
      <c r="B198" s="6"/>
      <c r="C198" s="6"/>
      <c r="D198" s="6"/>
      <c r="E198" s="6"/>
      <c r="F198" s="6"/>
      <c r="G198" s="61"/>
      <c r="H198" s="6"/>
      <c r="I198" s="6"/>
      <c r="J198" s="6"/>
      <c r="K198" s="6"/>
      <c r="L198" s="6"/>
      <c r="M198" s="6"/>
      <c r="N198" s="6"/>
      <c r="O198" s="6"/>
      <c r="P198" s="6"/>
      <c r="Q198" s="6"/>
      <c r="R198" s="6"/>
      <c r="S198" s="6"/>
      <c r="T198" s="6"/>
      <c r="U198" s="6"/>
      <c r="V198" s="6"/>
      <c r="W198" s="6"/>
      <c r="X198" s="6"/>
      <c r="Y198" s="6"/>
      <c r="Z198" s="6"/>
    </row>
    <row r="199" ht="14.25" customHeight="1">
      <c r="A199" s="6"/>
      <c r="B199" s="6"/>
      <c r="C199" s="6"/>
      <c r="D199" s="6"/>
      <c r="E199" s="6"/>
      <c r="F199" s="6"/>
      <c r="G199" s="61"/>
      <c r="H199" s="6"/>
      <c r="I199" s="6"/>
      <c r="J199" s="6"/>
      <c r="K199" s="6"/>
      <c r="L199" s="6"/>
      <c r="M199" s="6"/>
      <c r="N199" s="6"/>
      <c r="O199" s="6"/>
      <c r="P199" s="6"/>
      <c r="Q199" s="6"/>
      <c r="R199" s="6"/>
      <c r="S199" s="6"/>
      <c r="T199" s="6"/>
      <c r="U199" s="6"/>
      <c r="V199" s="6"/>
      <c r="W199" s="6"/>
      <c r="X199" s="6"/>
      <c r="Y199" s="6"/>
      <c r="Z199" s="6"/>
    </row>
    <row r="200" ht="14.25" customHeight="1">
      <c r="A200" s="6"/>
      <c r="B200" s="6"/>
      <c r="C200" s="6"/>
      <c r="D200" s="6"/>
      <c r="E200" s="6"/>
      <c r="F200" s="6"/>
      <c r="G200" s="61"/>
      <c r="H200" s="6"/>
      <c r="I200" s="6"/>
      <c r="J200" s="6"/>
      <c r="K200" s="6"/>
      <c r="L200" s="6"/>
      <c r="M200" s="6"/>
      <c r="N200" s="6"/>
      <c r="O200" s="6"/>
      <c r="P200" s="6"/>
      <c r="Q200" s="6"/>
      <c r="R200" s="6"/>
      <c r="S200" s="6"/>
      <c r="T200" s="6"/>
      <c r="U200" s="6"/>
      <c r="V200" s="6"/>
      <c r="W200" s="6"/>
      <c r="X200" s="6"/>
      <c r="Y200" s="6"/>
      <c r="Z200" s="6"/>
    </row>
    <row r="201" ht="14.25" customHeight="1">
      <c r="A201" s="6"/>
      <c r="B201" s="6"/>
      <c r="C201" s="6"/>
      <c r="D201" s="6"/>
      <c r="E201" s="6"/>
      <c r="F201" s="6"/>
      <c r="G201" s="61"/>
      <c r="H201" s="6"/>
      <c r="I201" s="6"/>
      <c r="J201" s="6"/>
      <c r="K201" s="6"/>
      <c r="L201" s="6"/>
      <c r="M201" s="6"/>
      <c r="N201" s="6"/>
      <c r="O201" s="6"/>
      <c r="P201" s="6"/>
      <c r="Q201" s="6"/>
      <c r="R201" s="6"/>
      <c r="S201" s="6"/>
      <c r="T201" s="6"/>
      <c r="U201" s="6"/>
      <c r="V201" s="6"/>
      <c r="W201" s="6"/>
      <c r="X201" s="6"/>
      <c r="Y201" s="6"/>
      <c r="Z201" s="6"/>
    </row>
    <row r="202" ht="14.25" customHeight="1">
      <c r="A202" s="6"/>
      <c r="B202" s="6"/>
      <c r="C202" s="6"/>
      <c r="D202" s="6"/>
      <c r="E202" s="6"/>
      <c r="F202" s="6"/>
      <c r="G202" s="61"/>
      <c r="H202" s="6"/>
      <c r="I202" s="6"/>
      <c r="J202" s="6"/>
      <c r="K202" s="6"/>
      <c r="L202" s="6"/>
      <c r="M202" s="6"/>
      <c r="N202" s="6"/>
      <c r="O202" s="6"/>
      <c r="P202" s="6"/>
      <c r="Q202" s="6"/>
      <c r="R202" s="6"/>
      <c r="S202" s="6"/>
      <c r="T202" s="6"/>
      <c r="U202" s="6"/>
      <c r="V202" s="6"/>
      <c r="W202" s="6"/>
      <c r="X202" s="6"/>
      <c r="Y202" s="6"/>
      <c r="Z202" s="6"/>
    </row>
    <row r="203" ht="14.25" customHeight="1">
      <c r="A203" s="6"/>
      <c r="B203" s="6"/>
      <c r="C203" s="6"/>
      <c r="D203" s="6"/>
      <c r="E203" s="6"/>
      <c r="F203" s="6"/>
      <c r="G203" s="61"/>
      <c r="H203" s="6"/>
      <c r="I203" s="6"/>
      <c r="J203" s="6"/>
      <c r="K203" s="6"/>
      <c r="L203" s="6"/>
      <c r="M203" s="6"/>
      <c r="N203" s="6"/>
      <c r="O203" s="6"/>
      <c r="P203" s="6"/>
      <c r="Q203" s="6"/>
      <c r="R203" s="6"/>
      <c r="S203" s="6"/>
      <c r="T203" s="6"/>
      <c r="U203" s="6"/>
      <c r="V203" s="6"/>
      <c r="W203" s="6"/>
      <c r="X203" s="6"/>
      <c r="Y203" s="6"/>
      <c r="Z203" s="6"/>
    </row>
    <row r="204" ht="14.25" customHeight="1">
      <c r="A204" s="6"/>
      <c r="B204" s="6"/>
      <c r="C204" s="6"/>
      <c r="D204" s="6"/>
      <c r="E204" s="6"/>
      <c r="F204" s="6"/>
      <c r="G204" s="61"/>
      <c r="H204" s="6"/>
      <c r="I204" s="6"/>
      <c r="J204" s="6"/>
      <c r="K204" s="6"/>
      <c r="L204" s="6"/>
      <c r="M204" s="6"/>
      <c r="N204" s="6"/>
      <c r="O204" s="6"/>
      <c r="P204" s="6"/>
      <c r="Q204" s="6"/>
      <c r="R204" s="6"/>
      <c r="S204" s="6"/>
      <c r="T204" s="6"/>
      <c r="U204" s="6"/>
      <c r="V204" s="6"/>
      <c r="W204" s="6"/>
      <c r="X204" s="6"/>
      <c r="Y204" s="6"/>
      <c r="Z204" s="6"/>
    </row>
    <row r="205" ht="14.25" customHeight="1">
      <c r="A205" s="6"/>
      <c r="B205" s="6"/>
      <c r="C205" s="6"/>
      <c r="D205" s="6"/>
      <c r="E205" s="6"/>
      <c r="F205" s="6"/>
      <c r="G205" s="61"/>
      <c r="H205" s="6"/>
      <c r="I205" s="6"/>
      <c r="J205" s="6"/>
      <c r="K205" s="6"/>
      <c r="L205" s="6"/>
      <c r="M205" s="6"/>
      <c r="N205" s="6"/>
      <c r="O205" s="6"/>
      <c r="P205" s="6"/>
      <c r="Q205" s="6"/>
      <c r="R205" s="6"/>
      <c r="S205" s="6"/>
      <c r="T205" s="6"/>
      <c r="U205" s="6"/>
      <c r="V205" s="6"/>
      <c r="W205" s="6"/>
      <c r="X205" s="6"/>
      <c r="Y205" s="6"/>
      <c r="Z205" s="6"/>
    </row>
    <row r="206" ht="14.25" customHeight="1">
      <c r="A206" s="6"/>
      <c r="B206" s="6"/>
      <c r="C206" s="6"/>
      <c r="D206" s="6"/>
      <c r="E206" s="6"/>
      <c r="F206" s="6"/>
      <c r="G206" s="61"/>
      <c r="H206" s="6"/>
      <c r="I206" s="6"/>
      <c r="J206" s="6"/>
      <c r="K206" s="6"/>
      <c r="L206" s="6"/>
      <c r="M206" s="6"/>
      <c r="N206" s="6"/>
      <c r="O206" s="6"/>
      <c r="P206" s="6"/>
      <c r="Q206" s="6"/>
      <c r="R206" s="6"/>
      <c r="S206" s="6"/>
      <c r="T206" s="6"/>
      <c r="U206" s="6"/>
      <c r="V206" s="6"/>
      <c r="W206" s="6"/>
      <c r="X206" s="6"/>
      <c r="Y206" s="6"/>
      <c r="Z206" s="6"/>
    </row>
    <row r="207" ht="14.25" customHeight="1">
      <c r="A207" s="6"/>
      <c r="B207" s="6"/>
      <c r="C207" s="6"/>
      <c r="D207" s="6"/>
      <c r="E207" s="6"/>
      <c r="F207" s="6"/>
      <c r="G207" s="61"/>
      <c r="H207" s="6"/>
      <c r="I207" s="6"/>
      <c r="J207" s="6"/>
      <c r="K207" s="6"/>
      <c r="L207" s="6"/>
      <c r="M207" s="6"/>
      <c r="N207" s="6"/>
      <c r="O207" s="6"/>
      <c r="P207" s="6"/>
      <c r="Q207" s="6"/>
      <c r="R207" s="6"/>
      <c r="S207" s="6"/>
      <c r="T207" s="6"/>
      <c r="U207" s="6"/>
      <c r="V207" s="6"/>
      <c r="W207" s="6"/>
      <c r="X207" s="6"/>
      <c r="Y207" s="6"/>
      <c r="Z207" s="6"/>
    </row>
    <row r="208" ht="14.25" customHeight="1">
      <c r="A208" s="6"/>
      <c r="B208" s="6"/>
      <c r="C208" s="6"/>
      <c r="D208" s="6"/>
      <c r="E208" s="6"/>
      <c r="F208" s="6"/>
      <c r="G208" s="61"/>
      <c r="H208" s="6"/>
      <c r="I208" s="6"/>
      <c r="J208" s="6"/>
      <c r="K208" s="6"/>
      <c r="L208" s="6"/>
      <c r="M208" s="6"/>
      <c r="N208" s="6"/>
      <c r="O208" s="6"/>
      <c r="P208" s="6"/>
      <c r="Q208" s="6"/>
      <c r="R208" s="6"/>
      <c r="S208" s="6"/>
      <c r="T208" s="6"/>
      <c r="U208" s="6"/>
      <c r="V208" s="6"/>
      <c r="W208" s="6"/>
      <c r="X208" s="6"/>
      <c r="Y208" s="6"/>
      <c r="Z208" s="6"/>
    </row>
    <row r="209" ht="14.25" customHeight="1">
      <c r="A209" s="6"/>
      <c r="B209" s="6"/>
      <c r="C209" s="6"/>
      <c r="D209" s="6"/>
      <c r="E209" s="6"/>
      <c r="F209" s="6"/>
      <c r="G209" s="61"/>
      <c r="H209" s="6"/>
      <c r="I209" s="6"/>
      <c r="J209" s="6"/>
      <c r="K209" s="6"/>
      <c r="L209" s="6"/>
      <c r="M209" s="6"/>
      <c r="N209" s="6"/>
      <c r="O209" s="6"/>
      <c r="P209" s="6"/>
      <c r="Q209" s="6"/>
      <c r="R209" s="6"/>
      <c r="S209" s="6"/>
      <c r="T209" s="6"/>
      <c r="U209" s="6"/>
      <c r="V209" s="6"/>
      <c r="W209" s="6"/>
      <c r="X209" s="6"/>
      <c r="Y209" s="6"/>
      <c r="Z209" s="6"/>
    </row>
    <row r="210" ht="14.25" customHeight="1">
      <c r="A210" s="6"/>
      <c r="B210" s="6"/>
      <c r="C210" s="6"/>
      <c r="D210" s="6"/>
      <c r="E210" s="6"/>
      <c r="F210" s="6"/>
      <c r="G210" s="61"/>
      <c r="H210" s="6"/>
      <c r="I210" s="6"/>
      <c r="J210" s="6"/>
      <c r="K210" s="6"/>
      <c r="L210" s="6"/>
      <c r="M210" s="6"/>
      <c r="N210" s="6"/>
      <c r="O210" s="6"/>
      <c r="P210" s="6"/>
      <c r="Q210" s="6"/>
      <c r="R210" s="6"/>
      <c r="S210" s="6"/>
      <c r="T210" s="6"/>
      <c r="U210" s="6"/>
      <c r="V210" s="6"/>
      <c r="W210" s="6"/>
      <c r="X210" s="6"/>
      <c r="Y210" s="6"/>
      <c r="Z210" s="6"/>
    </row>
    <row r="211" ht="14.25" customHeight="1">
      <c r="A211" s="6"/>
      <c r="B211" s="6"/>
      <c r="C211" s="6"/>
      <c r="D211" s="6"/>
      <c r="E211" s="6"/>
      <c r="F211" s="6"/>
      <c r="G211" s="61"/>
      <c r="H211" s="6"/>
      <c r="I211" s="6"/>
      <c r="J211" s="6"/>
      <c r="K211" s="6"/>
      <c r="L211" s="6"/>
      <c r="M211" s="6"/>
      <c r="N211" s="6"/>
      <c r="O211" s="6"/>
      <c r="P211" s="6"/>
      <c r="Q211" s="6"/>
      <c r="R211" s="6"/>
      <c r="S211" s="6"/>
      <c r="T211" s="6"/>
      <c r="U211" s="6"/>
      <c r="V211" s="6"/>
      <c r="W211" s="6"/>
      <c r="X211" s="6"/>
      <c r="Y211" s="6"/>
      <c r="Z211" s="6"/>
    </row>
    <row r="212" ht="14.25" customHeight="1">
      <c r="A212" s="6"/>
      <c r="B212" s="6"/>
      <c r="C212" s="6"/>
      <c r="D212" s="6"/>
      <c r="E212" s="6"/>
      <c r="F212" s="6"/>
      <c r="G212" s="61"/>
      <c r="H212" s="6"/>
      <c r="I212" s="6"/>
      <c r="J212" s="6"/>
      <c r="K212" s="6"/>
      <c r="L212" s="6"/>
      <c r="M212" s="6"/>
      <c r="N212" s="6"/>
      <c r="O212" s="6"/>
      <c r="P212" s="6"/>
      <c r="Q212" s="6"/>
      <c r="R212" s="6"/>
      <c r="S212" s="6"/>
      <c r="T212" s="6"/>
      <c r="U212" s="6"/>
      <c r="V212" s="6"/>
      <c r="W212" s="6"/>
      <c r="X212" s="6"/>
      <c r="Y212" s="6"/>
      <c r="Z212" s="6"/>
    </row>
    <row r="213" ht="14.25" customHeight="1">
      <c r="A213" s="6"/>
      <c r="B213" s="6"/>
      <c r="C213" s="6"/>
      <c r="D213" s="6"/>
      <c r="E213" s="6"/>
      <c r="F213" s="6"/>
      <c r="G213" s="61"/>
      <c r="H213" s="6"/>
      <c r="I213" s="6"/>
      <c r="J213" s="6"/>
      <c r="K213" s="6"/>
      <c r="L213" s="6"/>
      <c r="M213" s="6"/>
      <c r="N213" s="6"/>
      <c r="O213" s="6"/>
      <c r="P213" s="6"/>
      <c r="Q213" s="6"/>
      <c r="R213" s="6"/>
      <c r="S213" s="6"/>
      <c r="T213" s="6"/>
      <c r="U213" s="6"/>
      <c r="V213" s="6"/>
      <c r="W213" s="6"/>
      <c r="X213" s="6"/>
      <c r="Y213" s="6"/>
      <c r="Z213" s="6"/>
    </row>
    <row r="214" ht="14.25" customHeight="1">
      <c r="A214" s="6"/>
      <c r="B214" s="6"/>
      <c r="C214" s="6"/>
      <c r="D214" s="6"/>
      <c r="E214" s="6"/>
      <c r="F214" s="6"/>
      <c r="G214" s="61"/>
      <c r="H214" s="6"/>
      <c r="I214" s="6"/>
      <c r="J214" s="6"/>
      <c r="K214" s="6"/>
      <c r="L214" s="6"/>
      <c r="M214" s="6"/>
      <c r="N214" s="6"/>
      <c r="O214" s="6"/>
      <c r="P214" s="6"/>
      <c r="Q214" s="6"/>
      <c r="R214" s="6"/>
      <c r="S214" s="6"/>
      <c r="T214" s="6"/>
      <c r="U214" s="6"/>
      <c r="V214" s="6"/>
      <c r="W214" s="6"/>
      <c r="X214" s="6"/>
      <c r="Y214" s="6"/>
      <c r="Z214" s="6"/>
    </row>
    <row r="215" ht="14.25" customHeight="1">
      <c r="A215" s="6"/>
      <c r="B215" s="6"/>
      <c r="C215" s="6"/>
      <c r="D215" s="6"/>
      <c r="E215" s="6"/>
      <c r="F215" s="6"/>
      <c r="G215" s="61"/>
      <c r="H215" s="6"/>
      <c r="I215" s="6"/>
      <c r="J215" s="6"/>
      <c r="K215" s="6"/>
      <c r="L215" s="6"/>
      <c r="M215" s="6"/>
      <c r="N215" s="6"/>
      <c r="O215" s="6"/>
      <c r="P215" s="6"/>
      <c r="Q215" s="6"/>
      <c r="R215" s="6"/>
      <c r="S215" s="6"/>
      <c r="T215" s="6"/>
      <c r="U215" s="6"/>
      <c r="V215" s="6"/>
      <c r="W215" s="6"/>
      <c r="X215" s="6"/>
      <c r="Y215" s="6"/>
      <c r="Z215" s="6"/>
    </row>
    <row r="216" ht="14.25" customHeight="1">
      <c r="A216" s="6"/>
      <c r="B216" s="6"/>
      <c r="C216" s="6"/>
      <c r="D216" s="6"/>
      <c r="E216" s="6"/>
      <c r="F216" s="6"/>
      <c r="G216" s="61"/>
      <c r="H216" s="6"/>
      <c r="I216" s="6"/>
      <c r="J216" s="6"/>
      <c r="K216" s="6"/>
      <c r="L216" s="6"/>
      <c r="M216" s="6"/>
      <c r="N216" s="6"/>
      <c r="O216" s="6"/>
      <c r="P216" s="6"/>
      <c r="Q216" s="6"/>
      <c r="R216" s="6"/>
      <c r="S216" s="6"/>
      <c r="T216" s="6"/>
      <c r="U216" s="6"/>
      <c r="V216" s="6"/>
      <c r="W216" s="6"/>
      <c r="X216" s="6"/>
      <c r="Y216" s="6"/>
      <c r="Z216" s="6"/>
    </row>
    <row r="217" ht="14.25" customHeight="1">
      <c r="A217" s="6"/>
      <c r="B217" s="6"/>
      <c r="C217" s="6"/>
      <c r="D217" s="6"/>
      <c r="E217" s="6"/>
      <c r="F217" s="6"/>
      <c r="G217" s="61"/>
      <c r="H217" s="6"/>
      <c r="I217" s="6"/>
      <c r="J217" s="6"/>
      <c r="K217" s="6"/>
      <c r="L217" s="6"/>
      <c r="M217" s="6"/>
      <c r="N217" s="6"/>
      <c r="O217" s="6"/>
      <c r="P217" s="6"/>
      <c r="Q217" s="6"/>
      <c r="R217" s="6"/>
      <c r="S217" s="6"/>
      <c r="T217" s="6"/>
      <c r="U217" s="6"/>
      <c r="V217" s="6"/>
      <c r="W217" s="6"/>
      <c r="X217" s="6"/>
      <c r="Y217" s="6"/>
      <c r="Z217" s="6"/>
    </row>
    <row r="218" ht="14.25" customHeight="1">
      <c r="A218" s="6"/>
      <c r="B218" s="6"/>
      <c r="C218" s="6"/>
      <c r="D218" s="6"/>
      <c r="E218" s="6"/>
      <c r="F218" s="6"/>
      <c r="G218" s="61"/>
      <c r="H218" s="6"/>
      <c r="I218" s="6"/>
      <c r="J218" s="6"/>
      <c r="K218" s="6"/>
      <c r="L218" s="6"/>
      <c r="M218" s="6"/>
      <c r="N218" s="6"/>
      <c r="O218" s="6"/>
      <c r="P218" s="6"/>
      <c r="Q218" s="6"/>
      <c r="R218" s="6"/>
      <c r="S218" s="6"/>
      <c r="T218" s="6"/>
      <c r="U218" s="6"/>
      <c r="V218" s="6"/>
      <c r="W218" s="6"/>
      <c r="X218" s="6"/>
      <c r="Y218" s="6"/>
      <c r="Z218" s="6"/>
    </row>
    <row r="219" ht="14.25" customHeight="1">
      <c r="A219" s="6"/>
      <c r="B219" s="6"/>
      <c r="C219" s="6"/>
      <c r="D219" s="6"/>
      <c r="E219" s="6"/>
      <c r="F219" s="6"/>
      <c r="G219" s="61"/>
      <c r="H219" s="6"/>
      <c r="I219" s="6"/>
      <c r="J219" s="6"/>
      <c r="K219" s="6"/>
      <c r="L219" s="6"/>
      <c r="M219" s="6"/>
      <c r="N219" s="6"/>
      <c r="O219" s="6"/>
      <c r="P219" s="6"/>
      <c r="Q219" s="6"/>
      <c r="R219" s="6"/>
      <c r="S219" s="6"/>
      <c r="T219" s="6"/>
      <c r="U219" s="6"/>
      <c r="V219" s="6"/>
      <c r="W219" s="6"/>
      <c r="X219" s="6"/>
      <c r="Y219" s="6"/>
      <c r="Z219" s="6"/>
    </row>
    <row r="220" ht="14.25" customHeight="1">
      <c r="A220" s="6"/>
      <c r="B220" s="6"/>
      <c r="C220" s="6"/>
      <c r="D220" s="6"/>
      <c r="E220" s="6"/>
      <c r="F220" s="6"/>
      <c r="G220" s="61"/>
      <c r="H220" s="6"/>
      <c r="I220" s="6"/>
      <c r="J220" s="6"/>
      <c r="K220" s="6"/>
      <c r="L220" s="6"/>
      <c r="M220" s="6"/>
      <c r="N220" s="6"/>
      <c r="O220" s="6"/>
      <c r="P220" s="6"/>
      <c r="Q220" s="6"/>
      <c r="R220" s="6"/>
      <c r="S220" s="6"/>
      <c r="T220" s="6"/>
      <c r="U220" s="6"/>
      <c r="V220" s="6"/>
      <c r="W220" s="6"/>
      <c r="X220" s="6"/>
      <c r="Y220" s="6"/>
      <c r="Z220" s="6"/>
    </row>
    <row r="221" ht="14.25" customHeight="1">
      <c r="A221" s="6"/>
      <c r="B221" s="6"/>
      <c r="C221" s="6"/>
      <c r="D221" s="6"/>
      <c r="E221" s="6"/>
      <c r="F221" s="6"/>
      <c r="G221" s="61"/>
      <c r="H221" s="6"/>
      <c r="I221" s="6"/>
      <c r="J221" s="6"/>
      <c r="K221" s="6"/>
      <c r="L221" s="6"/>
      <c r="M221" s="6"/>
      <c r="N221" s="6"/>
      <c r="O221" s="6"/>
      <c r="P221" s="6"/>
      <c r="Q221" s="6"/>
      <c r="R221" s="6"/>
      <c r="S221" s="6"/>
      <c r="T221" s="6"/>
      <c r="U221" s="6"/>
      <c r="V221" s="6"/>
      <c r="W221" s="6"/>
      <c r="X221" s="6"/>
      <c r="Y221" s="6"/>
      <c r="Z221" s="6"/>
    </row>
    <row r="222" ht="14.25" customHeight="1">
      <c r="A222" s="6"/>
      <c r="B222" s="6"/>
      <c r="C222" s="6"/>
      <c r="D222" s="6"/>
      <c r="E222" s="6"/>
      <c r="F222" s="6"/>
      <c r="G222" s="61"/>
      <c r="H222" s="6"/>
      <c r="I222" s="6"/>
      <c r="J222" s="6"/>
      <c r="K222" s="6"/>
      <c r="L222" s="6"/>
      <c r="M222" s="6"/>
      <c r="N222" s="6"/>
      <c r="O222" s="6"/>
      <c r="P222" s="6"/>
      <c r="Q222" s="6"/>
      <c r="R222" s="6"/>
      <c r="S222" s="6"/>
      <c r="T222" s="6"/>
      <c r="U222" s="6"/>
      <c r="V222" s="6"/>
      <c r="W222" s="6"/>
      <c r="X222" s="6"/>
      <c r="Y222" s="6"/>
      <c r="Z222" s="6"/>
    </row>
    <row r="223" ht="14.25" customHeight="1">
      <c r="A223" s="6"/>
      <c r="B223" s="6"/>
      <c r="C223" s="6"/>
      <c r="D223" s="6"/>
      <c r="E223" s="6"/>
      <c r="F223" s="6"/>
      <c r="G223" s="61"/>
      <c r="H223" s="6"/>
      <c r="I223" s="6"/>
      <c r="J223" s="6"/>
      <c r="K223" s="6"/>
      <c r="L223" s="6"/>
      <c r="M223" s="6"/>
      <c r="N223" s="6"/>
      <c r="O223" s="6"/>
      <c r="P223" s="6"/>
      <c r="Q223" s="6"/>
      <c r="R223" s="6"/>
      <c r="S223" s="6"/>
      <c r="T223" s="6"/>
      <c r="U223" s="6"/>
      <c r="V223" s="6"/>
      <c r="W223" s="6"/>
      <c r="X223" s="6"/>
      <c r="Y223" s="6"/>
      <c r="Z223" s="6"/>
    </row>
    <row r="224" ht="14.25" customHeight="1">
      <c r="A224" s="6"/>
      <c r="B224" s="6"/>
      <c r="C224" s="6"/>
      <c r="D224" s="6"/>
      <c r="E224" s="6"/>
      <c r="F224" s="6"/>
      <c r="G224" s="61"/>
      <c r="H224" s="6"/>
      <c r="I224" s="6"/>
      <c r="J224" s="6"/>
      <c r="K224" s="6"/>
      <c r="L224" s="6"/>
      <c r="M224" s="6"/>
      <c r="N224" s="6"/>
      <c r="O224" s="6"/>
      <c r="P224" s="6"/>
      <c r="Q224" s="6"/>
      <c r="R224" s="6"/>
      <c r="S224" s="6"/>
      <c r="T224" s="6"/>
      <c r="U224" s="6"/>
      <c r="V224" s="6"/>
      <c r="W224" s="6"/>
      <c r="X224" s="6"/>
      <c r="Y224" s="6"/>
      <c r="Z224" s="6"/>
    </row>
    <row r="225" ht="14.25" customHeight="1">
      <c r="A225" s="6"/>
      <c r="B225" s="6"/>
      <c r="C225" s="6"/>
      <c r="D225" s="6"/>
      <c r="E225" s="6"/>
      <c r="F225" s="6"/>
      <c r="G225" s="61"/>
      <c r="H225" s="6"/>
      <c r="I225" s="6"/>
      <c r="J225" s="6"/>
      <c r="K225" s="6"/>
      <c r="L225" s="6"/>
      <c r="M225" s="6"/>
      <c r="N225" s="6"/>
      <c r="O225" s="6"/>
      <c r="P225" s="6"/>
      <c r="Q225" s="6"/>
      <c r="R225" s="6"/>
      <c r="S225" s="6"/>
      <c r="T225" s="6"/>
      <c r="U225" s="6"/>
      <c r="V225" s="6"/>
      <c r="W225" s="6"/>
      <c r="X225" s="6"/>
      <c r="Y225" s="6"/>
      <c r="Z225" s="6"/>
    </row>
    <row r="226" ht="14.25" customHeight="1">
      <c r="A226" s="6"/>
      <c r="B226" s="6"/>
      <c r="C226" s="6"/>
      <c r="D226" s="6"/>
      <c r="E226" s="6"/>
      <c r="F226" s="6"/>
      <c r="G226" s="61"/>
      <c r="H226" s="6"/>
      <c r="I226" s="6"/>
      <c r="J226" s="6"/>
      <c r="K226" s="6"/>
      <c r="L226" s="6"/>
      <c r="M226" s="6"/>
      <c r="N226" s="6"/>
      <c r="O226" s="6"/>
      <c r="P226" s="6"/>
      <c r="Q226" s="6"/>
      <c r="R226" s="6"/>
      <c r="S226" s="6"/>
      <c r="T226" s="6"/>
      <c r="U226" s="6"/>
      <c r="V226" s="6"/>
      <c r="W226" s="6"/>
      <c r="X226" s="6"/>
      <c r="Y226" s="6"/>
      <c r="Z226" s="6"/>
    </row>
    <row r="227" ht="14.25" customHeight="1">
      <c r="A227" s="6"/>
      <c r="B227" s="6"/>
      <c r="C227" s="6"/>
      <c r="D227" s="6"/>
      <c r="E227" s="6"/>
      <c r="F227" s="6"/>
      <c r="G227" s="61"/>
      <c r="H227" s="6"/>
      <c r="I227" s="6"/>
      <c r="J227" s="6"/>
      <c r="K227" s="6"/>
      <c r="L227" s="6"/>
      <c r="M227" s="6"/>
      <c r="N227" s="6"/>
      <c r="O227" s="6"/>
      <c r="P227" s="6"/>
      <c r="Q227" s="6"/>
      <c r="R227" s="6"/>
      <c r="S227" s="6"/>
      <c r="T227" s="6"/>
      <c r="U227" s="6"/>
      <c r="V227" s="6"/>
      <c r="W227" s="6"/>
      <c r="X227" s="6"/>
      <c r="Y227" s="6"/>
      <c r="Z227" s="6"/>
    </row>
    <row r="228" ht="14.25" customHeight="1">
      <c r="A228" s="6"/>
      <c r="B228" s="6"/>
      <c r="C228" s="6"/>
      <c r="D228" s="6"/>
      <c r="E228" s="6"/>
      <c r="F228" s="6"/>
      <c r="G228" s="61"/>
      <c r="H228" s="6"/>
      <c r="I228" s="6"/>
      <c r="J228" s="6"/>
      <c r="K228" s="6"/>
      <c r="L228" s="6"/>
      <c r="M228" s="6"/>
      <c r="N228" s="6"/>
      <c r="O228" s="6"/>
      <c r="P228" s="6"/>
      <c r="Q228" s="6"/>
      <c r="R228" s="6"/>
      <c r="S228" s="6"/>
      <c r="T228" s="6"/>
      <c r="U228" s="6"/>
      <c r="V228" s="6"/>
      <c r="W228" s="6"/>
      <c r="X228" s="6"/>
      <c r="Y228" s="6"/>
      <c r="Z228" s="6"/>
    </row>
    <row r="229" ht="14.25" customHeight="1">
      <c r="A229" s="6"/>
      <c r="B229" s="6"/>
      <c r="C229" s="6"/>
      <c r="D229" s="6"/>
      <c r="E229" s="6"/>
      <c r="F229" s="6"/>
      <c r="G229" s="61"/>
      <c r="H229" s="6"/>
      <c r="I229" s="6"/>
      <c r="J229" s="6"/>
      <c r="K229" s="6"/>
      <c r="L229" s="6"/>
      <c r="M229" s="6"/>
      <c r="N229" s="6"/>
      <c r="O229" s="6"/>
      <c r="P229" s="6"/>
      <c r="Q229" s="6"/>
      <c r="R229" s="6"/>
      <c r="S229" s="6"/>
      <c r="T229" s="6"/>
      <c r="U229" s="6"/>
      <c r="V229" s="6"/>
      <c r="W229" s="6"/>
      <c r="X229" s="6"/>
      <c r="Y229" s="6"/>
      <c r="Z229" s="6"/>
    </row>
    <row r="230" ht="14.25" customHeight="1">
      <c r="A230" s="6"/>
      <c r="B230" s="6"/>
      <c r="C230" s="6"/>
      <c r="D230" s="6"/>
      <c r="E230" s="6"/>
      <c r="F230" s="6"/>
      <c r="G230" s="61"/>
      <c r="H230" s="6"/>
      <c r="I230" s="6"/>
      <c r="J230" s="6"/>
      <c r="K230" s="6"/>
      <c r="L230" s="6"/>
      <c r="M230" s="6"/>
      <c r="N230" s="6"/>
      <c r="O230" s="6"/>
      <c r="P230" s="6"/>
      <c r="Q230" s="6"/>
      <c r="R230" s="6"/>
      <c r="S230" s="6"/>
      <c r="T230" s="6"/>
      <c r="U230" s="6"/>
      <c r="V230" s="6"/>
      <c r="W230" s="6"/>
      <c r="X230" s="6"/>
      <c r="Y230" s="6"/>
      <c r="Z230" s="6"/>
    </row>
    <row r="231" ht="14.25" customHeight="1">
      <c r="A231" s="6"/>
      <c r="B231" s="6"/>
      <c r="C231" s="6"/>
      <c r="D231" s="6"/>
      <c r="E231" s="6"/>
      <c r="F231" s="6"/>
      <c r="G231" s="61"/>
      <c r="H231" s="6"/>
      <c r="I231" s="6"/>
      <c r="J231" s="6"/>
      <c r="K231" s="6"/>
      <c r="L231" s="6"/>
      <c r="M231" s="6"/>
      <c r="N231" s="6"/>
      <c r="O231" s="6"/>
      <c r="P231" s="6"/>
      <c r="Q231" s="6"/>
      <c r="R231" s="6"/>
      <c r="S231" s="6"/>
      <c r="T231" s="6"/>
      <c r="U231" s="6"/>
      <c r="V231" s="6"/>
      <c r="W231" s="6"/>
      <c r="X231" s="6"/>
      <c r="Y231" s="6"/>
      <c r="Z231" s="6"/>
    </row>
    <row r="232" ht="14.25" customHeight="1">
      <c r="A232" s="6"/>
      <c r="B232" s="6"/>
      <c r="C232" s="6"/>
      <c r="D232" s="6"/>
      <c r="E232" s="6"/>
      <c r="F232" s="6"/>
      <c r="G232" s="61"/>
      <c r="H232" s="6"/>
      <c r="I232" s="6"/>
      <c r="J232" s="6"/>
      <c r="K232" s="6"/>
      <c r="L232" s="6"/>
      <c r="M232" s="6"/>
      <c r="N232" s="6"/>
      <c r="O232" s="6"/>
      <c r="P232" s="6"/>
      <c r="Q232" s="6"/>
      <c r="R232" s="6"/>
      <c r="S232" s="6"/>
      <c r="T232" s="6"/>
      <c r="U232" s="6"/>
      <c r="V232" s="6"/>
      <c r="W232" s="6"/>
      <c r="X232" s="6"/>
      <c r="Y232" s="6"/>
      <c r="Z232" s="6"/>
    </row>
    <row r="233" ht="14.25" customHeight="1">
      <c r="A233" s="6"/>
      <c r="B233" s="6"/>
      <c r="C233" s="6"/>
      <c r="D233" s="6"/>
      <c r="E233" s="6"/>
      <c r="F233" s="6"/>
      <c r="G233" s="61"/>
      <c r="H233" s="6"/>
      <c r="I233" s="6"/>
      <c r="J233" s="6"/>
      <c r="K233" s="6"/>
      <c r="L233" s="6"/>
      <c r="M233" s="6"/>
      <c r="N233" s="6"/>
      <c r="O233" s="6"/>
      <c r="P233" s="6"/>
      <c r="Q233" s="6"/>
      <c r="R233" s="6"/>
      <c r="S233" s="6"/>
      <c r="T233" s="6"/>
      <c r="U233" s="6"/>
      <c r="V233" s="6"/>
      <c r="W233" s="6"/>
      <c r="X233" s="6"/>
      <c r="Y233" s="6"/>
      <c r="Z233" s="6"/>
    </row>
    <row r="234" ht="14.25" customHeight="1">
      <c r="A234" s="6"/>
      <c r="B234" s="6"/>
      <c r="C234" s="6"/>
      <c r="D234" s="6"/>
      <c r="E234" s="6"/>
      <c r="F234" s="6"/>
      <c r="G234" s="61"/>
      <c r="H234" s="6"/>
      <c r="I234" s="6"/>
      <c r="J234" s="6"/>
      <c r="K234" s="6"/>
      <c r="L234" s="6"/>
      <c r="M234" s="6"/>
      <c r="N234" s="6"/>
      <c r="O234" s="6"/>
      <c r="P234" s="6"/>
      <c r="Q234" s="6"/>
      <c r="R234" s="6"/>
      <c r="S234" s="6"/>
      <c r="T234" s="6"/>
      <c r="U234" s="6"/>
      <c r="V234" s="6"/>
      <c r="W234" s="6"/>
      <c r="X234" s="6"/>
      <c r="Y234" s="6"/>
      <c r="Z234" s="6"/>
    </row>
    <row r="235" ht="14.25" customHeight="1">
      <c r="A235" s="6"/>
      <c r="B235" s="6"/>
      <c r="C235" s="6"/>
      <c r="D235" s="6"/>
      <c r="E235" s="6"/>
      <c r="F235" s="6"/>
      <c r="G235" s="61"/>
      <c r="H235" s="6"/>
      <c r="I235" s="6"/>
      <c r="J235" s="6"/>
      <c r="K235" s="6"/>
      <c r="L235" s="6"/>
      <c r="M235" s="6"/>
      <c r="N235" s="6"/>
      <c r="O235" s="6"/>
      <c r="P235" s="6"/>
      <c r="Q235" s="6"/>
      <c r="R235" s="6"/>
      <c r="S235" s="6"/>
      <c r="T235" s="6"/>
      <c r="U235" s="6"/>
      <c r="V235" s="6"/>
      <c r="W235" s="6"/>
      <c r="X235" s="6"/>
      <c r="Y235" s="6"/>
      <c r="Z235" s="6"/>
    </row>
    <row r="236" ht="14.25" customHeight="1">
      <c r="A236" s="6"/>
      <c r="B236" s="6"/>
      <c r="C236" s="6"/>
      <c r="D236" s="6"/>
      <c r="E236" s="6"/>
      <c r="F236" s="6"/>
      <c r="G236" s="61"/>
      <c r="H236" s="6"/>
      <c r="I236" s="6"/>
      <c r="J236" s="6"/>
      <c r="K236" s="6"/>
      <c r="L236" s="6"/>
      <c r="M236" s="6"/>
      <c r="N236" s="6"/>
      <c r="O236" s="6"/>
      <c r="P236" s="6"/>
      <c r="Q236" s="6"/>
      <c r="R236" s="6"/>
      <c r="S236" s="6"/>
      <c r="T236" s="6"/>
      <c r="U236" s="6"/>
      <c r="V236" s="6"/>
      <c r="W236" s="6"/>
      <c r="X236" s="6"/>
      <c r="Y236" s="6"/>
      <c r="Z236" s="6"/>
    </row>
    <row r="237" ht="14.25" customHeight="1">
      <c r="A237" s="6"/>
      <c r="B237" s="6"/>
      <c r="C237" s="6"/>
      <c r="D237" s="6"/>
      <c r="E237" s="6"/>
      <c r="F237" s="6"/>
      <c r="G237" s="61"/>
      <c r="H237" s="6"/>
      <c r="I237" s="6"/>
      <c r="J237" s="6"/>
      <c r="K237" s="6"/>
      <c r="L237" s="6"/>
      <c r="M237" s="6"/>
      <c r="N237" s="6"/>
      <c r="O237" s="6"/>
      <c r="P237" s="6"/>
      <c r="Q237" s="6"/>
      <c r="R237" s="6"/>
      <c r="S237" s="6"/>
      <c r="T237" s="6"/>
      <c r="U237" s="6"/>
      <c r="V237" s="6"/>
      <c r="W237" s="6"/>
      <c r="X237" s="6"/>
      <c r="Y237" s="6"/>
      <c r="Z237" s="6"/>
    </row>
    <row r="238" ht="14.25" customHeight="1">
      <c r="A238" s="6"/>
      <c r="B238" s="6"/>
      <c r="C238" s="6"/>
      <c r="D238" s="6"/>
      <c r="E238" s="6"/>
      <c r="F238" s="6"/>
      <c r="G238" s="61"/>
      <c r="H238" s="6"/>
      <c r="I238" s="6"/>
      <c r="J238" s="6"/>
      <c r="K238" s="6"/>
      <c r="L238" s="6"/>
      <c r="M238" s="6"/>
      <c r="N238" s="6"/>
      <c r="O238" s="6"/>
      <c r="P238" s="6"/>
      <c r="Q238" s="6"/>
      <c r="R238" s="6"/>
      <c r="S238" s="6"/>
      <c r="T238" s="6"/>
      <c r="U238" s="6"/>
      <c r="V238" s="6"/>
      <c r="W238" s="6"/>
      <c r="X238" s="6"/>
      <c r="Y238" s="6"/>
      <c r="Z238" s="6"/>
    </row>
    <row r="239" ht="14.25" customHeight="1">
      <c r="A239" s="6"/>
      <c r="B239" s="6"/>
      <c r="C239" s="6"/>
      <c r="D239" s="6"/>
      <c r="E239" s="6"/>
      <c r="F239" s="6"/>
      <c r="G239" s="61"/>
      <c r="H239" s="6"/>
      <c r="I239" s="6"/>
      <c r="J239" s="6"/>
      <c r="K239" s="6"/>
      <c r="L239" s="6"/>
      <c r="M239" s="6"/>
      <c r="N239" s="6"/>
      <c r="O239" s="6"/>
      <c r="P239" s="6"/>
      <c r="Q239" s="6"/>
      <c r="R239" s="6"/>
      <c r="S239" s="6"/>
      <c r="T239" s="6"/>
      <c r="U239" s="6"/>
      <c r="V239" s="6"/>
      <c r="W239" s="6"/>
      <c r="X239" s="6"/>
      <c r="Y239" s="6"/>
      <c r="Z239" s="6"/>
    </row>
    <row r="240" ht="14.25" customHeight="1">
      <c r="A240" s="6"/>
      <c r="B240" s="6"/>
      <c r="C240" s="6"/>
      <c r="D240" s="6"/>
      <c r="E240" s="6"/>
      <c r="F240" s="6"/>
      <c r="G240" s="61"/>
      <c r="H240" s="6"/>
      <c r="I240" s="6"/>
      <c r="J240" s="6"/>
      <c r="K240" s="6"/>
      <c r="L240" s="6"/>
      <c r="M240" s="6"/>
      <c r="N240" s="6"/>
      <c r="O240" s="6"/>
      <c r="P240" s="6"/>
      <c r="Q240" s="6"/>
      <c r="R240" s="6"/>
      <c r="S240" s="6"/>
      <c r="T240" s="6"/>
      <c r="U240" s="6"/>
      <c r="V240" s="6"/>
      <c r="W240" s="6"/>
      <c r="X240" s="6"/>
      <c r="Y240" s="6"/>
      <c r="Z240" s="6"/>
    </row>
    <row r="241" ht="14.25" customHeight="1">
      <c r="A241" s="6"/>
      <c r="B241" s="6"/>
      <c r="C241" s="6"/>
      <c r="D241" s="6"/>
      <c r="E241" s="6"/>
      <c r="F241" s="6"/>
      <c r="G241" s="61"/>
      <c r="H241" s="6"/>
      <c r="I241" s="6"/>
      <c r="J241" s="6"/>
      <c r="K241" s="6"/>
      <c r="L241" s="6"/>
      <c r="M241" s="6"/>
      <c r="N241" s="6"/>
      <c r="O241" s="6"/>
      <c r="P241" s="6"/>
      <c r="Q241" s="6"/>
      <c r="R241" s="6"/>
      <c r="S241" s="6"/>
      <c r="T241" s="6"/>
      <c r="U241" s="6"/>
      <c r="V241" s="6"/>
      <c r="W241" s="6"/>
      <c r="X241" s="6"/>
      <c r="Y241" s="6"/>
      <c r="Z241" s="6"/>
    </row>
    <row r="242" ht="14.25" customHeight="1">
      <c r="A242" s="6"/>
      <c r="B242" s="6"/>
      <c r="C242" s="6"/>
      <c r="D242" s="6"/>
      <c r="E242" s="6"/>
      <c r="F242" s="6"/>
      <c r="G242" s="61"/>
      <c r="H242" s="6"/>
      <c r="I242" s="6"/>
      <c r="J242" s="6"/>
      <c r="K242" s="6"/>
      <c r="L242" s="6"/>
      <c r="M242" s="6"/>
      <c r="N242" s="6"/>
      <c r="O242" s="6"/>
      <c r="P242" s="6"/>
      <c r="Q242" s="6"/>
      <c r="R242" s="6"/>
      <c r="S242" s="6"/>
      <c r="T242" s="6"/>
      <c r="U242" s="6"/>
      <c r="V242" s="6"/>
      <c r="W242" s="6"/>
      <c r="X242" s="6"/>
      <c r="Y242" s="6"/>
      <c r="Z242" s="6"/>
    </row>
    <row r="243" ht="14.25" customHeight="1">
      <c r="A243" s="6"/>
      <c r="B243" s="6"/>
      <c r="C243" s="6"/>
      <c r="D243" s="6"/>
      <c r="E243" s="6"/>
      <c r="F243" s="6"/>
      <c r="G243" s="61"/>
      <c r="H243" s="6"/>
      <c r="I243" s="6"/>
      <c r="J243" s="6"/>
      <c r="K243" s="6"/>
      <c r="L243" s="6"/>
      <c r="M243" s="6"/>
      <c r="N243" s="6"/>
      <c r="O243" s="6"/>
      <c r="P243" s="6"/>
      <c r="Q243" s="6"/>
      <c r="R243" s="6"/>
      <c r="S243" s="6"/>
      <c r="T243" s="6"/>
      <c r="U243" s="6"/>
      <c r="V243" s="6"/>
      <c r="W243" s="6"/>
      <c r="X243" s="6"/>
      <c r="Y243" s="6"/>
      <c r="Z243" s="6"/>
    </row>
    <row r="244" ht="14.25" customHeight="1">
      <c r="A244" s="6"/>
      <c r="B244" s="6"/>
      <c r="C244" s="6"/>
      <c r="D244" s="6"/>
      <c r="E244" s="6"/>
      <c r="F244" s="6"/>
      <c r="G244" s="61"/>
      <c r="H244" s="6"/>
      <c r="I244" s="6"/>
      <c r="J244" s="6"/>
      <c r="K244" s="6"/>
      <c r="L244" s="6"/>
      <c r="M244" s="6"/>
      <c r="N244" s="6"/>
      <c r="O244" s="6"/>
      <c r="P244" s="6"/>
      <c r="Q244" s="6"/>
      <c r="R244" s="6"/>
      <c r="S244" s="6"/>
      <c r="T244" s="6"/>
      <c r="U244" s="6"/>
      <c r="V244" s="6"/>
      <c r="W244" s="6"/>
      <c r="X244" s="6"/>
      <c r="Y244" s="6"/>
      <c r="Z244" s="6"/>
    </row>
    <row r="245" ht="14.25" customHeight="1">
      <c r="A245" s="6"/>
      <c r="B245" s="6"/>
      <c r="C245" s="6"/>
      <c r="D245" s="6"/>
      <c r="E245" s="6"/>
      <c r="F245" s="6"/>
      <c r="G245" s="61"/>
      <c r="H245" s="6"/>
      <c r="I245" s="6"/>
      <c r="J245" s="6"/>
      <c r="K245" s="6"/>
      <c r="L245" s="6"/>
      <c r="M245" s="6"/>
      <c r="N245" s="6"/>
      <c r="O245" s="6"/>
      <c r="P245" s="6"/>
      <c r="Q245" s="6"/>
      <c r="R245" s="6"/>
      <c r="S245" s="6"/>
      <c r="T245" s="6"/>
      <c r="U245" s="6"/>
      <c r="V245" s="6"/>
      <c r="W245" s="6"/>
      <c r="X245" s="6"/>
      <c r="Y245" s="6"/>
      <c r="Z245" s="6"/>
    </row>
    <row r="246" ht="14.25" customHeight="1">
      <c r="A246" s="6"/>
      <c r="B246" s="6"/>
      <c r="C246" s="6"/>
      <c r="D246" s="6"/>
      <c r="E246" s="6"/>
      <c r="F246" s="6"/>
      <c r="G246" s="61"/>
      <c r="H246" s="6"/>
      <c r="I246" s="6"/>
      <c r="J246" s="6"/>
      <c r="K246" s="6"/>
      <c r="L246" s="6"/>
      <c r="M246" s="6"/>
      <c r="N246" s="6"/>
      <c r="O246" s="6"/>
      <c r="P246" s="6"/>
      <c r="Q246" s="6"/>
      <c r="R246" s="6"/>
      <c r="S246" s="6"/>
      <c r="T246" s="6"/>
      <c r="U246" s="6"/>
      <c r="V246" s="6"/>
      <c r="W246" s="6"/>
      <c r="X246" s="6"/>
      <c r="Y246" s="6"/>
      <c r="Z246" s="6"/>
    </row>
    <row r="247" ht="14.25" customHeight="1">
      <c r="A247" s="6"/>
      <c r="B247" s="6"/>
      <c r="C247" s="6"/>
      <c r="D247" s="6"/>
      <c r="E247" s="6"/>
      <c r="F247" s="6"/>
      <c r="G247" s="61"/>
      <c r="H247" s="6"/>
      <c r="I247" s="6"/>
      <c r="J247" s="6"/>
      <c r="K247" s="6"/>
      <c r="L247" s="6"/>
      <c r="M247" s="6"/>
      <c r="N247" s="6"/>
      <c r="O247" s="6"/>
      <c r="P247" s="6"/>
      <c r="Q247" s="6"/>
      <c r="R247" s="6"/>
      <c r="S247" s="6"/>
      <c r="T247" s="6"/>
      <c r="U247" s="6"/>
      <c r="V247" s="6"/>
      <c r="W247" s="6"/>
      <c r="X247" s="6"/>
      <c r="Y247" s="6"/>
      <c r="Z247" s="6"/>
    </row>
    <row r="248" ht="14.25" customHeight="1">
      <c r="A248" s="6"/>
      <c r="B248" s="6"/>
      <c r="C248" s="6"/>
      <c r="D248" s="6"/>
      <c r="E248" s="6"/>
      <c r="F248" s="6"/>
      <c r="G248" s="61"/>
      <c r="H248" s="6"/>
      <c r="I248" s="6"/>
      <c r="J248" s="6"/>
      <c r="K248" s="6"/>
      <c r="L248" s="6"/>
      <c r="M248" s="6"/>
      <c r="N248" s="6"/>
      <c r="O248" s="6"/>
      <c r="P248" s="6"/>
      <c r="Q248" s="6"/>
      <c r="R248" s="6"/>
      <c r="S248" s="6"/>
      <c r="T248" s="6"/>
      <c r="U248" s="6"/>
      <c r="V248" s="6"/>
      <c r="W248" s="6"/>
      <c r="X248" s="6"/>
      <c r="Y248" s="6"/>
      <c r="Z248" s="6"/>
    </row>
    <row r="249" ht="14.25" customHeight="1">
      <c r="A249" s="6"/>
      <c r="B249" s="6"/>
      <c r="C249" s="6"/>
      <c r="D249" s="6"/>
      <c r="E249" s="6"/>
      <c r="F249" s="6"/>
      <c r="G249" s="61"/>
      <c r="H249" s="6"/>
      <c r="I249" s="6"/>
      <c r="J249" s="6"/>
      <c r="K249" s="6"/>
      <c r="L249" s="6"/>
      <c r="M249" s="6"/>
      <c r="N249" s="6"/>
      <c r="O249" s="6"/>
      <c r="P249" s="6"/>
      <c r="Q249" s="6"/>
      <c r="R249" s="6"/>
      <c r="S249" s="6"/>
      <c r="T249" s="6"/>
      <c r="U249" s="6"/>
      <c r="V249" s="6"/>
      <c r="W249" s="6"/>
      <c r="X249" s="6"/>
      <c r="Y249" s="6"/>
      <c r="Z249" s="6"/>
    </row>
    <row r="250" ht="14.25" customHeight="1">
      <c r="A250" s="6"/>
      <c r="B250" s="6"/>
      <c r="C250" s="6"/>
      <c r="D250" s="6"/>
      <c r="E250" s="6"/>
      <c r="F250" s="6"/>
      <c r="G250" s="61"/>
      <c r="H250" s="6"/>
      <c r="I250" s="6"/>
      <c r="J250" s="6"/>
      <c r="K250" s="6"/>
      <c r="L250" s="6"/>
      <c r="M250" s="6"/>
      <c r="N250" s="6"/>
      <c r="O250" s="6"/>
      <c r="P250" s="6"/>
      <c r="Q250" s="6"/>
      <c r="R250" s="6"/>
      <c r="S250" s="6"/>
      <c r="T250" s="6"/>
      <c r="U250" s="6"/>
      <c r="V250" s="6"/>
      <c r="W250" s="6"/>
      <c r="X250" s="6"/>
      <c r="Y250" s="6"/>
      <c r="Z250" s="6"/>
    </row>
    <row r="251" ht="14.25" customHeight="1">
      <c r="A251" s="6"/>
      <c r="B251" s="6"/>
      <c r="C251" s="6"/>
      <c r="D251" s="6"/>
      <c r="E251" s="6"/>
      <c r="F251" s="6"/>
      <c r="G251" s="61"/>
      <c r="H251" s="6"/>
      <c r="I251" s="6"/>
      <c r="J251" s="6"/>
      <c r="K251" s="6"/>
      <c r="L251" s="6"/>
      <c r="M251" s="6"/>
      <c r="N251" s="6"/>
      <c r="O251" s="6"/>
      <c r="P251" s="6"/>
      <c r="Q251" s="6"/>
      <c r="R251" s="6"/>
      <c r="S251" s="6"/>
      <c r="T251" s="6"/>
      <c r="U251" s="6"/>
      <c r="V251" s="6"/>
      <c r="W251" s="6"/>
      <c r="X251" s="6"/>
      <c r="Y251" s="6"/>
      <c r="Z251" s="6"/>
    </row>
    <row r="252" ht="14.25" customHeight="1">
      <c r="A252" s="6"/>
      <c r="B252" s="6"/>
      <c r="C252" s="6"/>
      <c r="D252" s="6"/>
      <c r="E252" s="6"/>
      <c r="F252" s="6"/>
      <c r="G252" s="61"/>
      <c r="H252" s="6"/>
      <c r="I252" s="6"/>
      <c r="J252" s="6"/>
      <c r="K252" s="6"/>
      <c r="L252" s="6"/>
      <c r="M252" s="6"/>
      <c r="N252" s="6"/>
      <c r="O252" s="6"/>
      <c r="P252" s="6"/>
      <c r="Q252" s="6"/>
      <c r="R252" s="6"/>
      <c r="S252" s="6"/>
      <c r="T252" s="6"/>
      <c r="U252" s="6"/>
      <c r="V252" s="6"/>
      <c r="W252" s="6"/>
      <c r="X252" s="6"/>
      <c r="Y252" s="6"/>
      <c r="Z252" s="6"/>
    </row>
    <row r="253" ht="14.25" customHeight="1">
      <c r="A253" s="6"/>
      <c r="B253" s="6"/>
      <c r="C253" s="6"/>
      <c r="D253" s="6"/>
      <c r="E253" s="6"/>
      <c r="F253" s="6"/>
      <c r="G253" s="61"/>
      <c r="H253" s="6"/>
      <c r="I253" s="6"/>
      <c r="J253" s="6"/>
      <c r="K253" s="6"/>
      <c r="L253" s="6"/>
      <c r="M253" s="6"/>
      <c r="N253" s="6"/>
      <c r="O253" s="6"/>
      <c r="P253" s="6"/>
      <c r="Q253" s="6"/>
      <c r="R253" s="6"/>
      <c r="S253" s="6"/>
      <c r="T253" s="6"/>
      <c r="U253" s="6"/>
      <c r="V253" s="6"/>
      <c r="W253" s="6"/>
      <c r="X253" s="6"/>
      <c r="Y253" s="6"/>
      <c r="Z253" s="6"/>
    </row>
    <row r="254" ht="14.25" customHeight="1">
      <c r="A254" s="6"/>
      <c r="B254" s="6"/>
      <c r="C254" s="6"/>
      <c r="D254" s="6"/>
      <c r="E254" s="6"/>
      <c r="F254" s="6"/>
      <c r="G254" s="61"/>
      <c r="H254" s="6"/>
      <c r="I254" s="6"/>
      <c r="J254" s="6"/>
      <c r="K254" s="6"/>
      <c r="L254" s="6"/>
      <c r="M254" s="6"/>
      <c r="N254" s="6"/>
      <c r="O254" s="6"/>
      <c r="P254" s="6"/>
      <c r="Q254" s="6"/>
      <c r="R254" s="6"/>
      <c r="S254" s="6"/>
      <c r="T254" s="6"/>
      <c r="U254" s="6"/>
      <c r="V254" s="6"/>
      <c r="W254" s="6"/>
      <c r="X254" s="6"/>
      <c r="Y254" s="6"/>
      <c r="Z254" s="6"/>
    </row>
    <row r="255" ht="14.25" customHeight="1">
      <c r="A255" s="6"/>
      <c r="B255" s="6"/>
      <c r="C255" s="6"/>
      <c r="D255" s="6"/>
      <c r="E255" s="6"/>
      <c r="F255" s="6"/>
      <c r="G255" s="61"/>
      <c r="H255" s="6"/>
      <c r="I255" s="6"/>
      <c r="J255" s="6"/>
      <c r="K255" s="6"/>
      <c r="L255" s="6"/>
      <c r="M255" s="6"/>
      <c r="N255" s="6"/>
      <c r="O255" s="6"/>
      <c r="P255" s="6"/>
      <c r="Q255" s="6"/>
      <c r="R255" s="6"/>
      <c r="S255" s="6"/>
      <c r="T255" s="6"/>
      <c r="U255" s="6"/>
      <c r="V255" s="6"/>
      <c r="W255" s="6"/>
      <c r="X255" s="6"/>
      <c r="Y255" s="6"/>
      <c r="Z255" s="6"/>
    </row>
    <row r="256" ht="14.25" customHeight="1">
      <c r="A256" s="6"/>
      <c r="B256" s="6"/>
      <c r="C256" s="6"/>
      <c r="D256" s="6"/>
      <c r="E256" s="6"/>
      <c r="F256" s="6"/>
      <c r="G256" s="61"/>
      <c r="H256" s="6"/>
      <c r="I256" s="6"/>
      <c r="J256" s="6"/>
      <c r="K256" s="6"/>
      <c r="L256" s="6"/>
      <c r="M256" s="6"/>
      <c r="N256" s="6"/>
      <c r="O256" s="6"/>
      <c r="P256" s="6"/>
      <c r="Q256" s="6"/>
      <c r="R256" s="6"/>
      <c r="S256" s="6"/>
      <c r="T256" s="6"/>
      <c r="U256" s="6"/>
      <c r="V256" s="6"/>
      <c r="W256" s="6"/>
      <c r="X256" s="6"/>
      <c r="Y256" s="6"/>
      <c r="Z256" s="6"/>
    </row>
    <row r="257" ht="14.25" customHeight="1">
      <c r="A257" s="6"/>
      <c r="B257" s="6"/>
      <c r="C257" s="6"/>
      <c r="D257" s="6"/>
      <c r="E257" s="6"/>
      <c r="F257" s="6"/>
      <c r="G257" s="61"/>
      <c r="H257" s="6"/>
      <c r="I257" s="6"/>
      <c r="J257" s="6"/>
      <c r="K257" s="6"/>
      <c r="L257" s="6"/>
      <c r="M257" s="6"/>
      <c r="N257" s="6"/>
      <c r="O257" s="6"/>
      <c r="P257" s="6"/>
      <c r="Q257" s="6"/>
      <c r="R257" s="6"/>
      <c r="S257" s="6"/>
      <c r="T257" s="6"/>
      <c r="U257" s="6"/>
      <c r="V257" s="6"/>
      <c r="W257" s="6"/>
      <c r="X257" s="6"/>
      <c r="Y257" s="6"/>
      <c r="Z257" s="6"/>
    </row>
    <row r="258" ht="14.25" customHeight="1">
      <c r="A258" s="6"/>
      <c r="B258" s="6"/>
      <c r="C258" s="6"/>
      <c r="D258" s="6"/>
      <c r="E258" s="6"/>
      <c r="F258" s="6"/>
      <c r="G258" s="61"/>
      <c r="H258" s="6"/>
      <c r="I258" s="6"/>
      <c r="J258" s="6"/>
      <c r="K258" s="6"/>
      <c r="L258" s="6"/>
      <c r="M258" s="6"/>
      <c r="N258" s="6"/>
      <c r="O258" s="6"/>
      <c r="P258" s="6"/>
      <c r="Q258" s="6"/>
      <c r="R258" s="6"/>
      <c r="S258" s="6"/>
      <c r="T258" s="6"/>
      <c r="U258" s="6"/>
      <c r="V258" s="6"/>
      <c r="W258" s="6"/>
      <c r="X258" s="6"/>
      <c r="Y258" s="6"/>
      <c r="Z258" s="6"/>
    </row>
    <row r="259" ht="14.25" customHeight="1">
      <c r="A259" s="6"/>
      <c r="B259" s="6"/>
      <c r="C259" s="6"/>
      <c r="D259" s="6"/>
      <c r="E259" s="6"/>
      <c r="F259" s="6"/>
      <c r="G259" s="61"/>
      <c r="H259" s="6"/>
      <c r="I259" s="6"/>
      <c r="J259" s="6"/>
      <c r="K259" s="6"/>
      <c r="L259" s="6"/>
      <c r="M259" s="6"/>
      <c r="N259" s="6"/>
      <c r="O259" s="6"/>
      <c r="P259" s="6"/>
      <c r="Q259" s="6"/>
      <c r="R259" s="6"/>
      <c r="S259" s="6"/>
      <c r="T259" s="6"/>
      <c r="U259" s="6"/>
      <c r="V259" s="6"/>
      <c r="W259" s="6"/>
      <c r="X259" s="6"/>
      <c r="Y259" s="6"/>
      <c r="Z259" s="6"/>
    </row>
    <row r="260" ht="14.25" customHeight="1">
      <c r="A260" s="6"/>
      <c r="B260" s="6"/>
      <c r="C260" s="6"/>
      <c r="D260" s="6"/>
      <c r="E260" s="6"/>
      <c r="F260" s="6"/>
      <c r="G260" s="61"/>
      <c r="H260" s="6"/>
      <c r="I260" s="6"/>
      <c r="J260" s="6"/>
      <c r="K260" s="6"/>
      <c r="L260" s="6"/>
      <c r="M260" s="6"/>
      <c r="N260" s="6"/>
      <c r="O260" s="6"/>
      <c r="P260" s="6"/>
      <c r="Q260" s="6"/>
      <c r="R260" s="6"/>
      <c r="S260" s="6"/>
      <c r="T260" s="6"/>
      <c r="U260" s="6"/>
      <c r="V260" s="6"/>
      <c r="W260" s="6"/>
      <c r="X260" s="6"/>
      <c r="Y260" s="6"/>
      <c r="Z260" s="6"/>
    </row>
    <row r="261" ht="14.25" customHeight="1">
      <c r="A261" s="6"/>
      <c r="B261" s="6"/>
      <c r="C261" s="6"/>
      <c r="D261" s="6"/>
      <c r="E261" s="6"/>
      <c r="F261" s="6"/>
      <c r="G261" s="61"/>
      <c r="H261" s="6"/>
      <c r="I261" s="6"/>
      <c r="J261" s="6"/>
      <c r="K261" s="6"/>
      <c r="L261" s="6"/>
      <c r="M261" s="6"/>
      <c r="N261" s="6"/>
      <c r="O261" s="6"/>
      <c r="P261" s="6"/>
      <c r="Q261" s="6"/>
      <c r="R261" s="6"/>
      <c r="S261" s="6"/>
      <c r="T261" s="6"/>
      <c r="U261" s="6"/>
      <c r="V261" s="6"/>
      <c r="W261" s="6"/>
      <c r="X261" s="6"/>
      <c r="Y261" s="6"/>
      <c r="Z261" s="6"/>
    </row>
    <row r="262" ht="14.25" customHeight="1">
      <c r="A262" s="6"/>
      <c r="B262" s="6"/>
      <c r="C262" s="6"/>
      <c r="D262" s="6"/>
      <c r="E262" s="6"/>
      <c r="F262" s="6"/>
      <c r="G262" s="61"/>
      <c r="H262" s="6"/>
      <c r="I262" s="6"/>
      <c r="J262" s="6"/>
      <c r="K262" s="6"/>
      <c r="L262" s="6"/>
      <c r="M262" s="6"/>
      <c r="N262" s="6"/>
      <c r="O262" s="6"/>
      <c r="P262" s="6"/>
      <c r="Q262" s="6"/>
      <c r="R262" s="6"/>
      <c r="S262" s="6"/>
      <c r="T262" s="6"/>
      <c r="U262" s="6"/>
      <c r="V262" s="6"/>
      <c r="W262" s="6"/>
      <c r="X262" s="6"/>
      <c r="Y262" s="6"/>
      <c r="Z262" s="6"/>
    </row>
    <row r="263" ht="14.25" customHeight="1">
      <c r="A263" s="6"/>
      <c r="B263" s="6"/>
      <c r="C263" s="6"/>
      <c r="D263" s="6"/>
      <c r="E263" s="6"/>
      <c r="F263" s="6"/>
      <c r="G263" s="61"/>
      <c r="H263" s="6"/>
      <c r="I263" s="6"/>
      <c r="J263" s="6"/>
      <c r="K263" s="6"/>
      <c r="L263" s="6"/>
      <c r="M263" s="6"/>
      <c r="N263" s="6"/>
      <c r="O263" s="6"/>
      <c r="P263" s="6"/>
      <c r="Q263" s="6"/>
      <c r="R263" s="6"/>
      <c r="S263" s="6"/>
      <c r="T263" s="6"/>
      <c r="U263" s="6"/>
      <c r="V263" s="6"/>
      <c r="W263" s="6"/>
      <c r="X263" s="6"/>
      <c r="Y263" s="6"/>
      <c r="Z263" s="6"/>
    </row>
    <row r="264" ht="14.25" customHeight="1">
      <c r="A264" s="6"/>
      <c r="B264" s="6"/>
      <c r="C264" s="6"/>
      <c r="D264" s="6"/>
      <c r="E264" s="6"/>
      <c r="F264" s="6"/>
      <c r="G264" s="61"/>
      <c r="H264" s="6"/>
      <c r="I264" s="6"/>
      <c r="J264" s="6"/>
      <c r="K264" s="6"/>
      <c r="L264" s="6"/>
      <c r="M264" s="6"/>
      <c r="N264" s="6"/>
      <c r="O264" s="6"/>
      <c r="P264" s="6"/>
      <c r="Q264" s="6"/>
      <c r="R264" s="6"/>
      <c r="S264" s="6"/>
      <c r="T264" s="6"/>
      <c r="U264" s="6"/>
      <c r="V264" s="6"/>
      <c r="W264" s="6"/>
      <c r="X264" s="6"/>
      <c r="Y264" s="6"/>
      <c r="Z264" s="6"/>
    </row>
    <row r="265" ht="14.25" customHeight="1">
      <c r="A265" s="6"/>
      <c r="B265" s="6"/>
      <c r="C265" s="6"/>
      <c r="D265" s="6"/>
      <c r="E265" s="6"/>
      <c r="F265" s="6"/>
      <c r="G265" s="61"/>
      <c r="H265" s="6"/>
      <c r="I265" s="6"/>
      <c r="J265" s="6"/>
      <c r="K265" s="6"/>
      <c r="L265" s="6"/>
      <c r="M265" s="6"/>
      <c r="N265" s="6"/>
      <c r="O265" s="6"/>
      <c r="P265" s="6"/>
      <c r="Q265" s="6"/>
      <c r="R265" s="6"/>
      <c r="S265" s="6"/>
      <c r="T265" s="6"/>
      <c r="U265" s="6"/>
      <c r="V265" s="6"/>
      <c r="W265" s="6"/>
      <c r="X265" s="6"/>
      <c r="Y265" s="6"/>
      <c r="Z265" s="6"/>
    </row>
    <row r="266" ht="14.25" customHeight="1">
      <c r="A266" s="6"/>
      <c r="B266" s="6"/>
      <c r="C266" s="6"/>
      <c r="D266" s="6"/>
      <c r="E266" s="6"/>
      <c r="F266" s="6"/>
      <c r="G266" s="61"/>
      <c r="H266" s="6"/>
      <c r="I266" s="6"/>
      <c r="J266" s="6"/>
      <c r="K266" s="6"/>
      <c r="L266" s="6"/>
      <c r="M266" s="6"/>
      <c r="N266" s="6"/>
      <c r="O266" s="6"/>
      <c r="P266" s="6"/>
      <c r="Q266" s="6"/>
      <c r="R266" s="6"/>
      <c r="S266" s="6"/>
      <c r="T266" s="6"/>
      <c r="U266" s="6"/>
      <c r="V266" s="6"/>
      <c r="W266" s="6"/>
      <c r="X266" s="6"/>
      <c r="Y266" s="6"/>
      <c r="Z266" s="6"/>
    </row>
    <row r="267" ht="14.25" customHeight="1">
      <c r="A267" s="6"/>
      <c r="B267" s="6"/>
      <c r="C267" s="6"/>
      <c r="D267" s="6"/>
      <c r="E267" s="6"/>
      <c r="F267" s="6"/>
      <c r="G267" s="61"/>
      <c r="H267" s="6"/>
      <c r="I267" s="6"/>
      <c r="J267" s="6"/>
      <c r="K267" s="6"/>
      <c r="L267" s="6"/>
      <c r="M267" s="6"/>
      <c r="N267" s="6"/>
      <c r="O267" s="6"/>
      <c r="P267" s="6"/>
      <c r="Q267" s="6"/>
      <c r="R267" s="6"/>
      <c r="S267" s="6"/>
      <c r="T267" s="6"/>
      <c r="U267" s="6"/>
      <c r="V267" s="6"/>
      <c r="W267" s="6"/>
      <c r="X267" s="6"/>
      <c r="Y267" s="6"/>
      <c r="Z267" s="6"/>
    </row>
    <row r="268" ht="14.25" customHeight="1">
      <c r="A268" s="6"/>
      <c r="B268" s="6"/>
      <c r="C268" s="6"/>
      <c r="D268" s="6"/>
      <c r="E268" s="6"/>
      <c r="F268" s="6"/>
      <c r="G268" s="61"/>
      <c r="H268" s="6"/>
      <c r="I268" s="6"/>
      <c r="J268" s="6"/>
      <c r="K268" s="6"/>
      <c r="L268" s="6"/>
      <c r="M268" s="6"/>
      <c r="N268" s="6"/>
      <c r="O268" s="6"/>
      <c r="P268" s="6"/>
      <c r="Q268" s="6"/>
      <c r="R268" s="6"/>
      <c r="S268" s="6"/>
      <c r="T268" s="6"/>
      <c r="U268" s="6"/>
      <c r="V268" s="6"/>
      <c r="W268" s="6"/>
      <c r="X268" s="6"/>
      <c r="Y268" s="6"/>
      <c r="Z268" s="6"/>
    </row>
    <row r="269" ht="14.25" customHeight="1">
      <c r="A269" s="6"/>
      <c r="B269" s="6"/>
      <c r="C269" s="6"/>
      <c r="D269" s="6"/>
      <c r="E269" s="6"/>
      <c r="F269" s="6"/>
      <c r="G269" s="61"/>
      <c r="H269" s="6"/>
      <c r="I269" s="6"/>
      <c r="J269" s="6"/>
      <c r="K269" s="6"/>
      <c r="L269" s="6"/>
      <c r="M269" s="6"/>
      <c r="N269" s="6"/>
      <c r="O269" s="6"/>
      <c r="P269" s="6"/>
      <c r="Q269" s="6"/>
      <c r="R269" s="6"/>
      <c r="S269" s="6"/>
      <c r="T269" s="6"/>
      <c r="U269" s="6"/>
      <c r="V269" s="6"/>
      <c r="W269" s="6"/>
      <c r="X269" s="6"/>
      <c r="Y269" s="6"/>
      <c r="Z269" s="6"/>
    </row>
    <row r="270" ht="14.25" customHeight="1">
      <c r="A270" s="6"/>
      <c r="B270" s="6"/>
      <c r="C270" s="6"/>
      <c r="D270" s="6"/>
      <c r="E270" s="6"/>
      <c r="F270" s="6"/>
      <c r="G270" s="61"/>
      <c r="H270" s="6"/>
      <c r="I270" s="6"/>
      <c r="J270" s="6"/>
      <c r="K270" s="6"/>
      <c r="L270" s="6"/>
      <c r="M270" s="6"/>
      <c r="N270" s="6"/>
      <c r="O270" s="6"/>
      <c r="P270" s="6"/>
      <c r="Q270" s="6"/>
      <c r="R270" s="6"/>
      <c r="S270" s="6"/>
      <c r="T270" s="6"/>
      <c r="U270" s="6"/>
      <c r="V270" s="6"/>
      <c r="W270" s="6"/>
      <c r="X270" s="6"/>
      <c r="Y270" s="6"/>
      <c r="Z270" s="6"/>
    </row>
    <row r="271" ht="14.25" customHeight="1">
      <c r="A271" s="6"/>
      <c r="B271" s="6"/>
      <c r="C271" s="6"/>
      <c r="D271" s="6"/>
      <c r="E271" s="6"/>
      <c r="F271" s="6"/>
      <c r="G271" s="61"/>
      <c r="H271" s="6"/>
      <c r="I271" s="6"/>
      <c r="J271" s="6"/>
      <c r="K271" s="6"/>
      <c r="L271" s="6"/>
      <c r="M271" s="6"/>
      <c r="N271" s="6"/>
      <c r="O271" s="6"/>
      <c r="P271" s="6"/>
      <c r="Q271" s="6"/>
      <c r="R271" s="6"/>
      <c r="S271" s="6"/>
      <c r="T271" s="6"/>
      <c r="U271" s="6"/>
      <c r="V271" s="6"/>
      <c r="W271" s="6"/>
      <c r="X271" s="6"/>
      <c r="Y271" s="6"/>
      <c r="Z271" s="6"/>
    </row>
    <row r="272" ht="14.25" customHeight="1">
      <c r="A272" s="6"/>
      <c r="B272" s="6"/>
      <c r="C272" s="6"/>
      <c r="D272" s="6"/>
      <c r="E272" s="6"/>
      <c r="F272" s="6"/>
      <c r="G272" s="61"/>
      <c r="H272" s="6"/>
      <c r="I272" s="6"/>
      <c r="J272" s="6"/>
      <c r="K272" s="6"/>
      <c r="L272" s="6"/>
      <c r="M272" s="6"/>
      <c r="N272" s="6"/>
      <c r="O272" s="6"/>
      <c r="P272" s="6"/>
      <c r="Q272" s="6"/>
      <c r="R272" s="6"/>
      <c r="S272" s="6"/>
      <c r="T272" s="6"/>
      <c r="U272" s="6"/>
      <c r="V272" s="6"/>
      <c r="W272" s="6"/>
      <c r="X272" s="6"/>
      <c r="Y272" s="6"/>
      <c r="Z272" s="6"/>
    </row>
    <row r="273" ht="14.25" customHeight="1">
      <c r="A273" s="6"/>
      <c r="B273" s="6"/>
      <c r="C273" s="6"/>
      <c r="D273" s="6"/>
      <c r="E273" s="6"/>
      <c r="F273" s="6"/>
      <c r="G273" s="61"/>
      <c r="H273" s="6"/>
      <c r="I273" s="6"/>
      <c r="J273" s="6"/>
      <c r="K273" s="6"/>
      <c r="L273" s="6"/>
      <c r="M273" s="6"/>
      <c r="N273" s="6"/>
      <c r="O273" s="6"/>
      <c r="P273" s="6"/>
      <c r="Q273" s="6"/>
      <c r="R273" s="6"/>
      <c r="S273" s="6"/>
      <c r="T273" s="6"/>
      <c r="U273" s="6"/>
      <c r="V273" s="6"/>
      <c r="W273" s="6"/>
      <c r="X273" s="6"/>
      <c r="Y273" s="6"/>
      <c r="Z273" s="6"/>
    </row>
    <row r="274" ht="14.25" customHeight="1">
      <c r="A274" s="6"/>
      <c r="B274" s="6"/>
      <c r="C274" s="6"/>
      <c r="D274" s="6"/>
      <c r="E274" s="6"/>
      <c r="F274" s="6"/>
      <c r="G274" s="61"/>
      <c r="H274" s="6"/>
      <c r="I274" s="6"/>
      <c r="J274" s="6"/>
      <c r="K274" s="6"/>
      <c r="L274" s="6"/>
      <c r="M274" s="6"/>
      <c r="N274" s="6"/>
      <c r="O274" s="6"/>
      <c r="P274" s="6"/>
      <c r="Q274" s="6"/>
      <c r="R274" s="6"/>
      <c r="S274" s="6"/>
      <c r="T274" s="6"/>
      <c r="U274" s="6"/>
      <c r="V274" s="6"/>
      <c r="W274" s="6"/>
      <c r="X274" s="6"/>
      <c r="Y274" s="6"/>
      <c r="Z274" s="6"/>
    </row>
    <row r="275" ht="14.25" customHeight="1">
      <c r="A275" s="6"/>
      <c r="B275" s="6"/>
      <c r="C275" s="6"/>
      <c r="D275" s="6"/>
      <c r="E275" s="6"/>
      <c r="F275" s="6"/>
      <c r="G275" s="61"/>
      <c r="H275" s="6"/>
      <c r="I275" s="6"/>
      <c r="J275" s="6"/>
      <c r="K275" s="6"/>
      <c r="L275" s="6"/>
      <c r="M275" s="6"/>
      <c r="N275" s="6"/>
      <c r="O275" s="6"/>
      <c r="P275" s="6"/>
      <c r="Q275" s="6"/>
      <c r="R275" s="6"/>
      <c r="S275" s="6"/>
      <c r="T275" s="6"/>
      <c r="U275" s="6"/>
      <c r="V275" s="6"/>
      <c r="W275" s="6"/>
      <c r="X275" s="6"/>
      <c r="Y275" s="6"/>
      <c r="Z275" s="6"/>
    </row>
    <row r="276" ht="14.25" customHeight="1">
      <c r="A276" s="6"/>
      <c r="B276" s="6"/>
      <c r="C276" s="6"/>
      <c r="D276" s="6"/>
      <c r="E276" s="6"/>
      <c r="F276" s="6"/>
      <c r="G276" s="61"/>
      <c r="H276" s="6"/>
      <c r="I276" s="6"/>
      <c r="J276" s="6"/>
      <c r="K276" s="6"/>
      <c r="L276" s="6"/>
      <c r="M276" s="6"/>
      <c r="N276" s="6"/>
      <c r="O276" s="6"/>
      <c r="P276" s="6"/>
      <c r="Q276" s="6"/>
      <c r="R276" s="6"/>
      <c r="S276" s="6"/>
      <c r="T276" s="6"/>
      <c r="U276" s="6"/>
      <c r="V276" s="6"/>
      <c r="W276" s="6"/>
      <c r="X276" s="6"/>
      <c r="Y276" s="6"/>
      <c r="Z276" s="6"/>
    </row>
    <row r="277" ht="14.25" customHeight="1">
      <c r="A277" s="6"/>
      <c r="B277" s="6"/>
      <c r="C277" s="6"/>
      <c r="D277" s="6"/>
      <c r="E277" s="6"/>
      <c r="F277" s="6"/>
      <c r="G277" s="61"/>
      <c r="H277" s="6"/>
      <c r="I277" s="6"/>
      <c r="J277" s="6"/>
      <c r="K277" s="6"/>
      <c r="L277" s="6"/>
      <c r="M277" s="6"/>
      <c r="N277" s="6"/>
      <c r="O277" s="6"/>
      <c r="P277" s="6"/>
      <c r="Q277" s="6"/>
      <c r="R277" s="6"/>
      <c r="S277" s="6"/>
      <c r="T277" s="6"/>
      <c r="U277" s="6"/>
      <c r="V277" s="6"/>
      <c r="W277" s="6"/>
      <c r="X277" s="6"/>
      <c r="Y277" s="6"/>
      <c r="Z277" s="6"/>
    </row>
    <row r="278" ht="14.25" customHeight="1">
      <c r="A278" s="6"/>
      <c r="B278" s="6"/>
      <c r="C278" s="6"/>
      <c r="D278" s="6"/>
      <c r="E278" s="6"/>
      <c r="F278" s="6"/>
      <c r="G278" s="61"/>
      <c r="H278" s="6"/>
      <c r="I278" s="6"/>
      <c r="J278" s="6"/>
      <c r="K278" s="6"/>
      <c r="L278" s="6"/>
      <c r="M278" s="6"/>
      <c r="N278" s="6"/>
      <c r="O278" s="6"/>
      <c r="P278" s="6"/>
      <c r="Q278" s="6"/>
      <c r="R278" s="6"/>
      <c r="S278" s="6"/>
      <c r="T278" s="6"/>
      <c r="U278" s="6"/>
      <c r="V278" s="6"/>
      <c r="W278" s="6"/>
      <c r="X278" s="6"/>
      <c r="Y278" s="6"/>
      <c r="Z278" s="6"/>
    </row>
    <row r="279" ht="14.25" customHeight="1">
      <c r="A279" s="6"/>
      <c r="B279" s="6"/>
      <c r="C279" s="6"/>
      <c r="D279" s="6"/>
      <c r="E279" s="6"/>
      <c r="F279" s="6"/>
      <c r="G279" s="61"/>
      <c r="H279" s="6"/>
      <c r="I279" s="6"/>
      <c r="J279" s="6"/>
      <c r="K279" s="6"/>
      <c r="L279" s="6"/>
      <c r="M279" s="6"/>
      <c r="N279" s="6"/>
      <c r="O279" s="6"/>
      <c r="P279" s="6"/>
      <c r="Q279" s="6"/>
      <c r="R279" s="6"/>
      <c r="S279" s="6"/>
      <c r="T279" s="6"/>
      <c r="U279" s="6"/>
      <c r="V279" s="6"/>
      <c r="W279" s="6"/>
      <c r="X279" s="6"/>
      <c r="Y279" s="6"/>
      <c r="Z279" s="6"/>
    </row>
    <row r="280" ht="14.25" customHeight="1">
      <c r="A280" s="6"/>
      <c r="B280" s="6"/>
      <c r="C280" s="6"/>
      <c r="D280" s="6"/>
      <c r="E280" s="6"/>
      <c r="F280" s="6"/>
      <c r="G280" s="61"/>
      <c r="H280" s="6"/>
      <c r="I280" s="6"/>
      <c r="J280" s="6"/>
      <c r="K280" s="6"/>
      <c r="L280" s="6"/>
      <c r="M280" s="6"/>
      <c r="N280" s="6"/>
      <c r="O280" s="6"/>
      <c r="P280" s="6"/>
      <c r="Q280" s="6"/>
      <c r="R280" s="6"/>
      <c r="S280" s="6"/>
      <c r="T280" s="6"/>
      <c r="U280" s="6"/>
      <c r="V280" s="6"/>
      <c r="W280" s="6"/>
      <c r="X280" s="6"/>
      <c r="Y280" s="6"/>
      <c r="Z280" s="6"/>
    </row>
    <row r="281" ht="14.25" customHeight="1">
      <c r="A281" s="6"/>
      <c r="B281" s="6"/>
      <c r="C281" s="6"/>
      <c r="D281" s="6"/>
      <c r="E281" s="6"/>
      <c r="F281" s="6"/>
      <c r="G281" s="61"/>
      <c r="H281" s="6"/>
      <c r="I281" s="6"/>
      <c r="J281" s="6"/>
      <c r="K281" s="6"/>
      <c r="L281" s="6"/>
      <c r="M281" s="6"/>
      <c r="N281" s="6"/>
      <c r="O281" s="6"/>
      <c r="P281" s="6"/>
      <c r="Q281" s="6"/>
      <c r="R281" s="6"/>
      <c r="S281" s="6"/>
      <c r="T281" s="6"/>
      <c r="U281" s="6"/>
      <c r="V281" s="6"/>
      <c r="W281" s="6"/>
      <c r="X281" s="6"/>
      <c r="Y281" s="6"/>
      <c r="Z281" s="6"/>
    </row>
    <row r="282" ht="14.25" customHeight="1">
      <c r="A282" s="6"/>
      <c r="B282" s="6"/>
      <c r="C282" s="6"/>
      <c r="D282" s="6"/>
      <c r="E282" s="6"/>
      <c r="F282" s="6"/>
      <c r="G282" s="61"/>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A$1:$P$81"/>
  <dataValidations>
    <dataValidation type="list" allowBlank="1" sqref="J2:J82">
      <formula1>"7月リリース,9月リリース,運用中追加,Phase 2以降,条件付き,実装済"</formula1>
    </dataValidation>
    <dataValidation type="list" allowBlank="1" sqref="P2:P82">
      <formula1>"✅"</formula1>
    </dataValidation>
    <dataValidation type="list" allowBlank="1" sqref="M2:M82">
      <formula1>"🔴 必須,🟡 希望,🟢 不要"</formula1>
    </dataValidation>
    <dataValidation type="list" allowBlank="1" sqref="G2:G82">
      <formula1>"v1初版,2026-04-22,2026-04-24"</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78.0"/>
    <col customWidth="1" min="3" max="6" width="8.71"/>
  </cols>
  <sheetData>
    <row r="1" ht="14.25" customHeight="1">
      <c r="A1" s="62" t="s">
        <v>440</v>
      </c>
      <c r="B1" s="63"/>
      <c r="C1" s="64"/>
      <c r="D1" s="64"/>
      <c r="E1" s="64"/>
      <c r="F1" s="64"/>
      <c r="G1" s="64"/>
      <c r="H1" s="64"/>
      <c r="I1" s="64"/>
      <c r="J1" s="64"/>
      <c r="K1" s="64"/>
      <c r="L1" s="64"/>
      <c r="M1" s="64"/>
      <c r="N1" s="64"/>
      <c r="O1" s="64"/>
      <c r="P1" s="64"/>
      <c r="Q1" s="64"/>
      <c r="R1" s="64"/>
      <c r="S1" s="64"/>
      <c r="T1" s="64"/>
      <c r="U1" s="64"/>
      <c r="V1" s="64"/>
      <c r="W1" s="64"/>
      <c r="X1" s="64"/>
      <c r="Y1" s="64"/>
      <c r="Z1" s="64"/>
    </row>
    <row r="2" ht="14.25" customHeight="1">
      <c r="A2" s="63"/>
      <c r="B2" s="63"/>
      <c r="C2" s="64"/>
      <c r="D2" s="64"/>
      <c r="E2" s="64"/>
      <c r="F2" s="64"/>
      <c r="G2" s="64"/>
      <c r="H2" s="64"/>
      <c r="I2" s="64"/>
      <c r="J2" s="64"/>
      <c r="K2" s="64"/>
      <c r="L2" s="64"/>
      <c r="M2" s="64"/>
      <c r="N2" s="64"/>
      <c r="O2" s="64"/>
      <c r="P2" s="64"/>
      <c r="Q2" s="64"/>
      <c r="R2" s="64"/>
      <c r="S2" s="64"/>
      <c r="T2" s="64"/>
      <c r="U2" s="64"/>
      <c r="V2" s="64"/>
      <c r="W2" s="64"/>
      <c r="X2" s="64"/>
      <c r="Y2" s="64"/>
      <c r="Z2" s="64"/>
    </row>
    <row r="3" ht="14.25" customHeight="1">
      <c r="A3" s="63"/>
      <c r="B3" s="63"/>
      <c r="C3" s="64"/>
      <c r="D3" s="64"/>
      <c r="E3" s="64"/>
      <c r="F3" s="64"/>
      <c r="G3" s="64"/>
      <c r="H3" s="64"/>
      <c r="I3" s="64"/>
      <c r="J3" s="64"/>
      <c r="K3" s="64"/>
      <c r="L3" s="64"/>
      <c r="M3" s="64"/>
      <c r="N3" s="64"/>
      <c r="O3" s="64"/>
      <c r="P3" s="64"/>
      <c r="Q3" s="64"/>
      <c r="R3" s="64"/>
      <c r="S3" s="64"/>
      <c r="T3" s="64"/>
      <c r="U3" s="64"/>
      <c r="V3" s="64"/>
      <c r="W3" s="64"/>
      <c r="X3" s="64"/>
      <c r="Y3" s="64"/>
      <c r="Z3" s="64"/>
    </row>
    <row r="4" ht="14.25" customHeight="1">
      <c r="A4" s="65" t="s">
        <v>441</v>
      </c>
      <c r="B4" s="63"/>
      <c r="C4" s="64"/>
      <c r="D4" s="64"/>
      <c r="E4" s="64"/>
      <c r="F4" s="64"/>
      <c r="G4" s="64"/>
      <c r="H4" s="64"/>
      <c r="I4" s="64"/>
      <c r="J4" s="64"/>
      <c r="K4" s="64"/>
      <c r="L4" s="64"/>
      <c r="M4" s="64"/>
      <c r="N4" s="64"/>
      <c r="O4" s="64"/>
      <c r="P4" s="64"/>
      <c r="Q4" s="64"/>
      <c r="R4" s="64"/>
      <c r="S4" s="64"/>
      <c r="T4" s="64"/>
      <c r="U4" s="64"/>
      <c r="V4" s="64"/>
      <c r="W4" s="64"/>
      <c r="X4" s="64"/>
      <c r="Y4" s="64"/>
      <c r="Z4" s="64"/>
    </row>
    <row r="5" ht="14.25" customHeight="1">
      <c r="A5" s="65" t="s">
        <v>442</v>
      </c>
      <c r="B5" s="63"/>
      <c r="C5" s="64"/>
      <c r="D5" s="64"/>
      <c r="E5" s="64"/>
      <c r="F5" s="64"/>
      <c r="G5" s="64"/>
      <c r="H5" s="64"/>
      <c r="I5" s="64"/>
      <c r="J5" s="64"/>
      <c r="K5" s="64"/>
      <c r="L5" s="64"/>
      <c r="M5" s="64"/>
      <c r="N5" s="64"/>
      <c r="O5" s="64"/>
      <c r="P5" s="64"/>
      <c r="Q5" s="64"/>
      <c r="R5" s="64"/>
      <c r="S5" s="64"/>
      <c r="T5" s="64"/>
      <c r="U5" s="64"/>
      <c r="V5" s="64"/>
      <c r="W5" s="64"/>
      <c r="X5" s="64"/>
      <c r="Y5" s="64"/>
      <c r="Z5" s="64"/>
    </row>
    <row r="6" ht="14.25" customHeight="1">
      <c r="A6" s="65" t="s">
        <v>443</v>
      </c>
      <c r="B6" s="63"/>
      <c r="C6" s="64"/>
      <c r="D6" s="64"/>
      <c r="E6" s="64"/>
      <c r="F6" s="64"/>
      <c r="G6" s="64"/>
      <c r="H6" s="64"/>
      <c r="I6" s="64"/>
      <c r="J6" s="64"/>
      <c r="K6" s="64"/>
      <c r="L6" s="64"/>
      <c r="M6" s="64"/>
      <c r="N6" s="64"/>
      <c r="O6" s="64"/>
      <c r="P6" s="64"/>
      <c r="Q6" s="64"/>
      <c r="R6" s="64"/>
      <c r="S6" s="64"/>
      <c r="T6" s="64"/>
      <c r="U6" s="64"/>
      <c r="V6" s="64"/>
      <c r="W6" s="64"/>
      <c r="X6" s="64"/>
      <c r="Y6" s="64"/>
      <c r="Z6" s="64"/>
    </row>
    <row r="7" ht="14.25" customHeight="1">
      <c r="A7" s="65" t="s">
        <v>444</v>
      </c>
      <c r="B7" s="63"/>
      <c r="C7" s="64"/>
      <c r="D7" s="64"/>
      <c r="E7" s="64"/>
      <c r="F7" s="64"/>
      <c r="G7" s="64"/>
      <c r="H7" s="64"/>
      <c r="I7" s="64"/>
      <c r="J7" s="64"/>
      <c r="K7" s="64"/>
      <c r="L7" s="64"/>
      <c r="M7" s="64"/>
      <c r="N7" s="64"/>
      <c r="O7" s="64"/>
      <c r="P7" s="64"/>
      <c r="Q7" s="64"/>
      <c r="R7" s="64"/>
      <c r="S7" s="64"/>
      <c r="T7" s="64"/>
      <c r="U7" s="64"/>
      <c r="V7" s="64"/>
      <c r="W7" s="64"/>
      <c r="X7" s="64"/>
      <c r="Y7" s="64"/>
      <c r="Z7" s="64"/>
    </row>
    <row r="8" ht="14.25" customHeight="1">
      <c r="A8" s="63"/>
      <c r="B8" s="63"/>
      <c r="C8" s="64"/>
      <c r="D8" s="64"/>
      <c r="E8" s="64"/>
      <c r="F8" s="64"/>
      <c r="G8" s="64"/>
      <c r="H8" s="64"/>
      <c r="I8" s="64"/>
      <c r="J8" s="64"/>
      <c r="K8" s="64"/>
      <c r="L8" s="64"/>
      <c r="M8" s="64"/>
      <c r="N8" s="64"/>
      <c r="O8" s="64"/>
      <c r="P8" s="64"/>
      <c r="Q8" s="64"/>
      <c r="R8" s="64"/>
      <c r="S8" s="64"/>
      <c r="T8" s="64"/>
      <c r="U8" s="64"/>
      <c r="V8" s="64"/>
      <c r="W8" s="64"/>
      <c r="X8" s="64"/>
      <c r="Y8" s="64"/>
      <c r="Z8" s="64"/>
    </row>
    <row r="9" ht="14.25" customHeight="1">
      <c r="A9" s="65" t="s">
        <v>445</v>
      </c>
      <c r="B9" s="63"/>
      <c r="C9" s="64"/>
      <c r="D9" s="64"/>
      <c r="E9" s="64"/>
      <c r="F9" s="64"/>
      <c r="G9" s="64"/>
      <c r="H9" s="64"/>
      <c r="I9" s="64"/>
      <c r="J9" s="64"/>
      <c r="K9" s="64"/>
      <c r="L9" s="64"/>
      <c r="M9" s="64"/>
      <c r="N9" s="64"/>
      <c r="O9" s="64"/>
      <c r="P9" s="64"/>
      <c r="Q9" s="64"/>
      <c r="R9" s="64"/>
      <c r="S9" s="64"/>
      <c r="T9" s="64"/>
      <c r="U9" s="64"/>
      <c r="V9" s="64"/>
      <c r="W9" s="64"/>
      <c r="X9" s="64"/>
      <c r="Y9" s="64"/>
      <c r="Z9" s="64"/>
    </row>
    <row r="10" ht="14.25" customHeight="1">
      <c r="A10" s="63" t="s">
        <v>0</v>
      </c>
      <c r="B10" s="65" t="s">
        <v>446</v>
      </c>
      <c r="C10" s="64"/>
      <c r="D10" s="64"/>
      <c r="E10" s="64"/>
      <c r="F10" s="64"/>
      <c r="G10" s="64"/>
      <c r="H10" s="64"/>
      <c r="I10" s="64"/>
      <c r="J10" s="64"/>
      <c r="K10" s="64"/>
      <c r="L10" s="64"/>
      <c r="M10" s="64"/>
      <c r="N10" s="64"/>
      <c r="O10" s="64"/>
      <c r="P10" s="64"/>
      <c r="Q10" s="64"/>
      <c r="R10" s="64"/>
      <c r="S10" s="64"/>
      <c r="T10" s="64"/>
      <c r="U10" s="64"/>
      <c r="V10" s="64"/>
      <c r="W10" s="64"/>
      <c r="X10" s="64"/>
      <c r="Y10" s="64"/>
      <c r="Z10" s="64"/>
    </row>
    <row r="11" ht="14.25" customHeight="1">
      <c r="A11" s="65" t="s">
        <v>447</v>
      </c>
      <c r="B11" s="65" t="s">
        <v>448</v>
      </c>
      <c r="C11" s="64"/>
      <c r="D11" s="64"/>
      <c r="E11" s="64"/>
      <c r="F11" s="64"/>
      <c r="G11" s="64"/>
      <c r="H11" s="64"/>
      <c r="I11" s="64"/>
      <c r="J11" s="64"/>
      <c r="K11" s="64"/>
      <c r="L11" s="64"/>
      <c r="M11" s="64"/>
      <c r="N11" s="64"/>
      <c r="O11" s="64"/>
      <c r="P11" s="64"/>
      <c r="Q11" s="64"/>
      <c r="R11" s="64"/>
      <c r="S11" s="64"/>
      <c r="T11" s="64"/>
      <c r="U11" s="64"/>
      <c r="V11" s="64"/>
      <c r="W11" s="64"/>
      <c r="X11" s="64"/>
      <c r="Y11" s="64"/>
      <c r="Z11" s="64"/>
    </row>
    <row r="12" ht="14.25" customHeight="1">
      <c r="A12" s="65" t="s">
        <v>4</v>
      </c>
      <c r="B12" s="65" t="s">
        <v>449</v>
      </c>
      <c r="C12" s="64"/>
      <c r="D12" s="64"/>
      <c r="E12" s="64"/>
      <c r="F12" s="64"/>
      <c r="G12" s="64"/>
      <c r="H12" s="64"/>
      <c r="I12" s="64"/>
      <c r="J12" s="64"/>
      <c r="K12" s="64"/>
      <c r="L12" s="64"/>
      <c r="M12" s="64"/>
      <c r="N12" s="64"/>
      <c r="O12" s="64"/>
      <c r="P12" s="64"/>
      <c r="Q12" s="64"/>
      <c r="R12" s="64"/>
      <c r="S12" s="64"/>
      <c r="T12" s="64"/>
      <c r="U12" s="64"/>
      <c r="V12" s="64"/>
      <c r="W12" s="64"/>
      <c r="X12" s="64"/>
      <c r="Y12" s="64"/>
      <c r="Z12" s="64"/>
    </row>
    <row r="13" ht="14.25" customHeight="1">
      <c r="A13" s="65" t="s">
        <v>5</v>
      </c>
      <c r="B13" s="65" t="s">
        <v>450</v>
      </c>
      <c r="C13" s="64"/>
      <c r="D13" s="64"/>
      <c r="E13" s="64"/>
      <c r="F13" s="64"/>
      <c r="G13" s="64"/>
      <c r="H13" s="64"/>
      <c r="I13" s="64"/>
      <c r="J13" s="64"/>
      <c r="K13" s="64"/>
      <c r="L13" s="64"/>
      <c r="M13" s="64"/>
      <c r="N13" s="64"/>
      <c r="O13" s="64"/>
      <c r="P13" s="64"/>
      <c r="Q13" s="64"/>
      <c r="R13" s="64"/>
      <c r="S13" s="64"/>
      <c r="T13" s="64"/>
      <c r="U13" s="64"/>
      <c r="V13" s="64"/>
      <c r="W13" s="64"/>
      <c r="X13" s="64"/>
      <c r="Y13" s="64"/>
      <c r="Z13" s="64"/>
    </row>
    <row r="14" ht="14.25" customHeight="1">
      <c r="A14" s="65" t="s">
        <v>6</v>
      </c>
      <c r="B14" s="65" t="s">
        <v>451</v>
      </c>
      <c r="C14" s="64"/>
      <c r="D14" s="64"/>
      <c r="E14" s="64"/>
      <c r="F14" s="64"/>
      <c r="G14" s="64"/>
      <c r="H14" s="64"/>
      <c r="I14" s="64"/>
      <c r="J14" s="64"/>
      <c r="K14" s="64"/>
      <c r="L14" s="64"/>
      <c r="M14" s="64"/>
      <c r="N14" s="64"/>
      <c r="O14" s="64"/>
      <c r="P14" s="64"/>
      <c r="Q14" s="64"/>
      <c r="R14" s="64"/>
      <c r="S14" s="64"/>
      <c r="T14" s="64"/>
      <c r="U14" s="64"/>
      <c r="V14" s="64"/>
      <c r="W14" s="64"/>
      <c r="X14" s="64"/>
      <c r="Y14" s="64"/>
      <c r="Z14" s="64"/>
    </row>
    <row r="15" ht="14.25" customHeight="1">
      <c r="A15" s="65" t="s">
        <v>7</v>
      </c>
      <c r="B15" s="63" t="s">
        <v>452</v>
      </c>
      <c r="C15" s="64"/>
      <c r="D15" s="64"/>
      <c r="E15" s="64"/>
      <c r="F15" s="64"/>
      <c r="G15" s="64"/>
      <c r="H15" s="64"/>
      <c r="I15" s="64"/>
      <c r="J15" s="64"/>
      <c r="K15" s="64"/>
      <c r="L15" s="64"/>
      <c r="M15" s="64"/>
      <c r="N15" s="64"/>
      <c r="O15" s="64"/>
      <c r="P15" s="64"/>
      <c r="Q15" s="64"/>
      <c r="R15" s="64"/>
      <c r="S15" s="64"/>
      <c r="T15" s="64"/>
      <c r="U15" s="64"/>
      <c r="V15" s="64"/>
      <c r="W15" s="64"/>
      <c r="X15" s="64"/>
      <c r="Y15" s="64"/>
      <c r="Z15" s="64"/>
    </row>
    <row r="16" ht="14.25" customHeight="1">
      <c r="A16" s="65" t="s">
        <v>8</v>
      </c>
      <c r="B16" s="63" t="s">
        <v>453</v>
      </c>
      <c r="C16" s="64"/>
      <c r="D16" s="64"/>
      <c r="E16" s="64"/>
      <c r="F16" s="64"/>
      <c r="G16" s="64"/>
      <c r="H16" s="64"/>
      <c r="I16" s="64"/>
      <c r="J16" s="64"/>
      <c r="K16" s="64"/>
      <c r="L16" s="64"/>
      <c r="M16" s="64"/>
      <c r="N16" s="64"/>
      <c r="O16" s="64"/>
      <c r="P16" s="64"/>
      <c r="Q16" s="64"/>
      <c r="R16" s="64"/>
      <c r="S16" s="64"/>
      <c r="T16" s="64"/>
      <c r="U16" s="64"/>
      <c r="V16" s="64"/>
      <c r="W16" s="64"/>
      <c r="X16" s="64"/>
      <c r="Y16" s="64"/>
      <c r="Z16" s="64"/>
    </row>
    <row r="17" ht="14.25" customHeight="1">
      <c r="A17" s="65" t="s">
        <v>9</v>
      </c>
      <c r="B17" s="63" t="s">
        <v>454</v>
      </c>
      <c r="C17" s="64"/>
      <c r="D17" s="64"/>
      <c r="E17" s="64"/>
      <c r="F17" s="64"/>
      <c r="G17" s="64"/>
      <c r="H17" s="64"/>
      <c r="I17" s="64"/>
      <c r="J17" s="64"/>
      <c r="K17" s="64"/>
      <c r="L17" s="64"/>
      <c r="M17" s="64"/>
      <c r="N17" s="64"/>
      <c r="O17" s="64"/>
      <c r="P17" s="64"/>
      <c r="Q17" s="64"/>
      <c r="R17" s="64"/>
      <c r="S17" s="64"/>
      <c r="T17" s="64"/>
      <c r="U17" s="64"/>
      <c r="V17" s="64"/>
      <c r="W17" s="64"/>
      <c r="X17" s="64"/>
      <c r="Y17" s="64"/>
      <c r="Z17" s="64"/>
    </row>
    <row r="18" ht="14.25" customHeight="1">
      <c r="A18" s="65" t="s">
        <v>10</v>
      </c>
      <c r="B18" s="65" t="s">
        <v>455</v>
      </c>
      <c r="C18" s="64"/>
      <c r="D18" s="64"/>
      <c r="E18" s="64"/>
      <c r="F18" s="64"/>
      <c r="G18" s="64"/>
      <c r="H18" s="64"/>
      <c r="I18" s="64"/>
      <c r="J18" s="64"/>
      <c r="K18" s="64"/>
      <c r="L18" s="64"/>
      <c r="M18" s="64"/>
      <c r="N18" s="64"/>
      <c r="O18" s="64"/>
      <c r="P18" s="64"/>
      <c r="Q18" s="64"/>
      <c r="R18" s="64"/>
      <c r="S18" s="64"/>
      <c r="T18" s="64"/>
      <c r="U18" s="64"/>
      <c r="V18" s="64"/>
      <c r="W18" s="64"/>
      <c r="X18" s="64"/>
      <c r="Y18" s="64"/>
      <c r="Z18" s="64"/>
    </row>
    <row r="19" ht="14.25" customHeight="1">
      <c r="A19" s="65" t="s">
        <v>456</v>
      </c>
      <c r="B19" s="65" t="s">
        <v>457</v>
      </c>
      <c r="C19" s="64"/>
      <c r="D19" s="64"/>
      <c r="E19" s="64"/>
      <c r="F19" s="64"/>
      <c r="G19" s="64"/>
      <c r="H19" s="64"/>
      <c r="I19" s="64"/>
      <c r="J19" s="64"/>
      <c r="K19" s="64"/>
      <c r="L19" s="64"/>
      <c r="M19" s="64"/>
      <c r="N19" s="64"/>
      <c r="O19" s="64"/>
      <c r="P19" s="64"/>
      <c r="Q19" s="64"/>
      <c r="R19" s="64"/>
      <c r="S19" s="64"/>
      <c r="T19" s="64"/>
      <c r="U19" s="64"/>
      <c r="V19" s="64"/>
      <c r="W19" s="64"/>
      <c r="X19" s="64"/>
      <c r="Y19" s="64"/>
      <c r="Z19" s="64"/>
    </row>
    <row r="20" ht="14.25" customHeight="1">
      <c r="A20" s="66" t="s">
        <v>458</v>
      </c>
      <c r="B20" s="65" t="s">
        <v>459</v>
      </c>
      <c r="C20" s="64"/>
      <c r="D20" s="64"/>
      <c r="E20" s="64"/>
      <c r="F20" s="64"/>
      <c r="G20" s="64"/>
      <c r="H20" s="64"/>
      <c r="I20" s="64"/>
      <c r="J20" s="64"/>
      <c r="K20" s="64"/>
      <c r="L20" s="64"/>
      <c r="M20" s="64"/>
      <c r="N20" s="64"/>
      <c r="O20" s="64"/>
      <c r="P20" s="64"/>
      <c r="Q20" s="64"/>
      <c r="R20" s="64"/>
      <c r="S20" s="64"/>
      <c r="T20" s="64"/>
      <c r="U20" s="64"/>
      <c r="V20" s="64"/>
      <c r="W20" s="64"/>
      <c r="X20" s="64"/>
      <c r="Y20" s="64"/>
      <c r="Z20" s="64"/>
    </row>
    <row r="21" ht="14.25" customHeight="1">
      <c r="A21" s="65" t="s">
        <v>460</v>
      </c>
      <c r="B21" s="65" t="s">
        <v>461</v>
      </c>
      <c r="C21" s="64"/>
      <c r="D21" s="64"/>
      <c r="E21" s="64"/>
      <c r="F21" s="64"/>
      <c r="G21" s="64"/>
      <c r="H21" s="64"/>
      <c r="I21" s="64"/>
      <c r="J21" s="64"/>
      <c r="K21" s="64"/>
      <c r="L21" s="64"/>
      <c r="M21" s="64"/>
      <c r="N21" s="64"/>
      <c r="O21" s="64"/>
      <c r="P21" s="64"/>
      <c r="Q21" s="64"/>
      <c r="R21" s="64"/>
      <c r="S21" s="64"/>
      <c r="T21" s="64"/>
      <c r="U21" s="64"/>
      <c r="V21" s="64"/>
      <c r="W21" s="64"/>
      <c r="X21" s="64"/>
      <c r="Y21" s="64"/>
      <c r="Z21" s="64"/>
    </row>
    <row r="22" ht="14.25" customHeight="1">
      <c r="A22" s="65" t="s">
        <v>15</v>
      </c>
      <c r="B22" s="65" t="s">
        <v>462</v>
      </c>
      <c r="C22" s="64"/>
      <c r="D22" s="64"/>
      <c r="E22" s="64"/>
      <c r="F22" s="64"/>
      <c r="G22" s="64"/>
      <c r="H22" s="64"/>
      <c r="I22" s="64"/>
      <c r="J22" s="64"/>
      <c r="K22" s="64"/>
      <c r="L22" s="64"/>
      <c r="M22" s="64"/>
      <c r="N22" s="64"/>
      <c r="O22" s="64"/>
      <c r="P22" s="64"/>
      <c r="Q22" s="64"/>
      <c r="R22" s="64"/>
      <c r="S22" s="64"/>
      <c r="T22" s="64"/>
      <c r="U22" s="64"/>
      <c r="V22" s="64"/>
      <c r="W22" s="64"/>
      <c r="X22" s="64"/>
      <c r="Y22" s="64"/>
      <c r="Z22" s="64"/>
    </row>
    <row r="23" ht="14.25" customHeight="1">
      <c r="A23" s="63"/>
      <c r="B23" s="63"/>
      <c r="C23" s="64"/>
      <c r="D23" s="64"/>
      <c r="E23" s="64"/>
      <c r="F23" s="64"/>
      <c r="G23" s="64"/>
      <c r="H23" s="64"/>
      <c r="I23" s="64"/>
      <c r="J23" s="64"/>
      <c r="K23" s="64"/>
      <c r="L23" s="64"/>
      <c r="M23" s="64"/>
      <c r="N23" s="64"/>
      <c r="O23" s="64"/>
      <c r="P23" s="64"/>
      <c r="Q23" s="64"/>
      <c r="R23" s="64"/>
      <c r="S23" s="64"/>
      <c r="T23" s="64"/>
      <c r="U23" s="64"/>
      <c r="V23" s="64"/>
      <c r="W23" s="64"/>
      <c r="X23" s="64"/>
      <c r="Y23" s="64"/>
      <c r="Z23" s="64"/>
    </row>
    <row r="24" ht="14.25" customHeight="1">
      <c r="A24" s="65" t="s">
        <v>463</v>
      </c>
      <c r="B24" s="63"/>
      <c r="C24" s="64"/>
      <c r="D24" s="64"/>
      <c r="E24" s="64"/>
      <c r="F24" s="64"/>
      <c r="G24" s="64"/>
      <c r="H24" s="64"/>
      <c r="I24" s="64"/>
      <c r="J24" s="64"/>
      <c r="K24" s="64"/>
      <c r="L24" s="64"/>
      <c r="M24" s="64"/>
      <c r="N24" s="64"/>
      <c r="O24" s="64"/>
      <c r="P24" s="64"/>
      <c r="Q24" s="64"/>
      <c r="R24" s="64"/>
      <c r="S24" s="64"/>
      <c r="T24" s="64"/>
      <c r="U24" s="64"/>
      <c r="V24" s="64"/>
      <c r="W24" s="64"/>
      <c r="X24" s="64"/>
      <c r="Y24" s="64"/>
      <c r="Z24" s="64"/>
    </row>
    <row r="25" ht="14.25" customHeight="1">
      <c r="A25" s="65" t="s">
        <v>464</v>
      </c>
      <c r="B25" s="65" t="s">
        <v>465</v>
      </c>
      <c r="C25" s="64"/>
      <c r="D25" s="64"/>
      <c r="E25" s="64"/>
      <c r="F25" s="64"/>
      <c r="G25" s="64"/>
      <c r="H25" s="64"/>
      <c r="I25" s="64"/>
      <c r="J25" s="64"/>
      <c r="K25" s="64"/>
      <c r="L25" s="64"/>
      <c r="M25" s="64"/>
      <c r="N25" s="64"/>
      <c r="O25" s="64"/>
      <c r="P25" s="64"/>
      <c r="Q25" s="64"/>
      <c r="R25" s="64"/>
      <c r="S25" s="64"/>
      <c r="T25" s="64"/>
      <c r="U25" s="64"/>
      <c r="V25" s="64"/>
      <c r="W25" s="64"/>
      <c r="X25" s="64"/>
      <c r="Y25" s="64"/>
      <c r="Z25" s="64"/>
    </row>
    <row r="26" ht="14.25" customHeight="1">
      <c r="A26" s="65" t="s">
        <v>466</v>
      </c>
      <c r="B26" s="65" t="s">
        <v>467</v>
      </c>
      <c r="C26" s="64"/>
      <c r="D26" s="64"/>
      <c r="E26" s="64"/>
      <c r="F26" s="64"/>
      <c r="G26" s="64"/>
      <c r="H26" s="64"/>
      <c r="I26" s="64"/>
      <c r="J26" s="64"/>
      <c r="K26" s="64"/>
      <c r="L26" s="64"/>
      <c r="M26" s="64"/>
      <c r="N26" s="64"/>
      <c r="O26" s="64"/>
      <c r="P26" s="64"/>
      <c r="Q26" s="64"/>
      <c r="R26" s="64"/>
      <c r="S26" s="64"/>
      <c r="T26" s="64"/>
      <c r="U26" s="64"/>
      <c r="V26" s="64"/>
      <c r="W26" s="64"/>
      <c r="X26" s="64"/>
      <c r="Y26" s="64"/>
      <c r="Z26" s="64"/>
    </row>
    <row r="27" ht="14.25" customHeight="1">
      <c r="A27" s="63" t="s">
        <v>468</v>
      </c>
      <c r="B27" s="65" t="s">
        <v>469</v>
      </c>
      <c r="C27" s="64"/>
      <c r="D27" s="64"/>
      <c r="E27" s="64"/>
      <c r="F27" s="64"/>
      <c r="G27" s="64"/>
      <c r="H27" s="64"/>
      <c r="I27" s="64"/>
      <c r="J27" s="64"/>
      <c r="K27" s="64"/>
      <c r="L27" s="64"/>
      <c r="M27" s="64"/>
      <c r="N27" s="64"/>
      <c r="O27" s="64"/>
      <c r="P27" s="64"/>
      <c r="Q27" s="64"/>
      <c r="R27" s="64"/>
      <c r="S27" s="64"/>
      <c r="T27" s="64"/>
      <c r="U27" s="64"/>
      <c r="V27" s="64"/>
      <c r="W27" s="64"/>
      <c r="X27" s="64"/>
      <c r="Y27" s="64"/>
      <c r="Z27" s="64"/>
    </row>
    <row r="28" ht="14.25" customHeight="1">
      <c r="A28" s="65" t="s">
        <v>470</v>
      </c>
      <c r="B28" s="65" t="s">
        <v>471</v>
      </c>
      <c r="C28" s="64"/>
      <c r="D28" s="64"/>
      <c r="E28" s="64"/>
      <c r="F28" s="64"/>
      <c r="G28" s="64"/>
      <c r="H28" s="64"/>
      <c r="I28" s="64"/>
      <c r="J28" s="64"/>
      <c r="K28" s="64"/>
      <c r="L28" s="64"/>
      <c r="M28" s="64"/>
      <c r="N28" s="64"/>
      <c r="O28" s="64"/>
      <c r="P28" s="64"/>
      <c r="Q28" s="64"/>
      <c r="R28" s="64"/>
      <c r="S28" s="64"/>
      <c r="T28" s="64"/>
      <c r="U28" s="64"/>
      <c r="V28" s="64"/>
      <c r="W28" s="64"/>
      <c r="X28" s="64"/>
      <c r="Y28" s="64"/>
      <c r="Z28" s="64"/>
    </row>
    <row r="29" ht="14.25" customHeight="1">
      <c r="A29" s="65" t="s">
        <v>307</v>
      </c>
      <c r="B29" s="65" t="s">
        <v>472</v>
      </c>
      <c r="C29" s="64"/>
      <c r="D29" s="64"/>
      <c r="E29" s="64"/>
      <c r="F29" s="64"/>
      <c r="G29" s="64"/>
      <c r="H29" s="64"/>
      <c r="I29" s="64"/>
      <c r="J29" s="64"/>
      <c r="K29" s="64"/>
      <c r="L29" s="64"/>
      <c r="M29" s="64"/>
      <c r="N29" s="64"/>
      <c r="O29" s="64"/>
      <c r="P29" s="64"/>
      <c r="Q29" s="64"/>
      <c r="R29" s="64"/>
      <c r="S29" s="64"/>
      <c r="T29" s="64"/>
      <c r="U29" s="64"/>
      <c r="V29" s="64"/>
      <c r="W29" s="64"/>
      <c r="X29" s="64"/>
      <c r="Y29" s="64"/>
      <c r="Z29" s="64"/>
    </row>
    <row r="30" ht="14.25" customHeight="1">
      <c r="A30" s="65" t="s">
        <v>473</v>
      </c>
      <c r="B30" s="65" t="s">
        <v>474</v>
      </c>
      <c r="C30" s="64"/>
      <c r="D30" s="64"/>
      <c r="E30" s="64"/>
      <c r="F30" s="64"/>
      <c r="G30" s="64"/>
      <c r="H30" s="64"/>
      <c r="I30" s="64"/>
      <c r="J30" s="64"/>
      <c r="K30" s="64"/>
      <c r="L30" s="64"/>
      <c r="M30" s="64"/>
      <c r="N30" s="64"/>
      <c r="O30" s="64"/>
      <c r="P30" s="64"/>
      <c r="Q30" s="64"/>
      <c r="R30" s="64"/>
      <c r="S30" s="64"/>
      <c r="T30" s="64"/>
      <c r="U30" s="64"/>
      <c r="V30" s="64"/>
      <c r="W30" s="64"/>
      <c r="X30" s="64"/>
      <c r="Y30" s="64"/>
      <c r="Z30" s="64"/>
    </row>
    <row r="31" ht="14.25" customHeight="1">
      <c r="A31" s="63" t="s">
        <v>475</v>
      </c>
      <c r="B31" s="65" t="s">
        <v>476</v>
      </c>
      <c r="C31" s="64"/>
      <c r="D31" s="64"/>
      <c r="E31" s="64"/>
      <c r="F31" s="64"/>
      <c r="G31" s="64"/>
      <c r="H31" s="64"/>
      <c r="I31" s="64"/>
      <c r="J31" s="64"/>
      <c r="K31" s="64"/>
      <c r="L31" s="64"/>
      <c r="M31" s="64"/>
      <c r="N31" s="64"/>
      <c r="O31" s="64"/>
      <c r="P31" s="64"/>
      <c r="Q31" s="64"/>
      <c r="R31" s="64"/>
      <c r="S31" s="64"/>
      <c r="T31" s="64"/>
      <c r="U31" s="64"/>
      <c r="V31" s="64"/>
      <c r="W31" s="64"/>
      <c r="X31" s="64"/>
      <c r="Y31" s="64"/>
      <c r="Z31" s="64"/>
    </row>
    <row r="32" ht="14.25" customHeight="1">
      <c r="A32" s="63"/>
      <c r="B32" s="63"/>
      <c r="C32" s="64"/>
      <c r="D32" s="64"/>
      <c r="E32" s="64"/>
      <c r="F32" s="64"/>
      <c r="G32" s="64"/>
      <c r="H32" s="64"/>
      <c r="I32" s="64"/>
      <c r="J32" s="64"/>
      <c r="K32" s="64"/>
      <c r="L32" s="64"/>
      <c r="M32" s="64"/>
      <c r="N32" s="64"/>
      <c r="O32" s="64"/>
      <c r="P32" s="64"/>
      <c r="Q32" s="64"/>
      <c r="R32" s="64"/>
      <c r="S32" s="64"/>
      <c r="T32" s="64"/>
      <c r="U32" s="64"/>
      <c r="V32" s="64"/>
      <c r="W32" s="64"/>
      <c r="X32" s="64"/>
      <c r="Y32" s="64"/>
      <c r="Z32" s="64"/>
    </row>
    <row r="33" ht="14.25" customHeight="1">
      <c r="A33" s="65" t="s">
        <v>477</v>
      </c>
      <c r="B33" s="63"/>
      <c r="C33" s="64"/>
      <c r="D33" s="64"/>
      <c r="E33" s="64"/>
      <c r="F33" s="64"/>
      <c r="G33" s="64"/>
      <c r="H33" s="64"/>
      <c r="I33" s="64"/>
      <c r="J33" s="64"/>
      <c r="K33" s="64"/>
      <c r="L33" s="64"/>
      <c r="M33" s="64"/>
      <c r="N33" s="64"/>
      <c r="O33" s="64"/>
      <c r="P33" s="64"/>
      <c r="Q33" s="64"/>
      <c r="R33" s="64"/>
      <c r="S33" s="64"/>
      <c r="T33" s="64"/>
      <c r="U33" s="64"/>
      <c r="V33" s="64"/>
      <c r="W33" s="64"/>
      <c r="X33" s="64"/>
      <c r="Y33" s="64"/>
      <c r="Z33" s="64"/>
    </row>
    <row r="34" ht="14.25" customHeight="1">
      <c r="A34" s="65" t="s">
        <v>17</v>
      </c>
      <c r="B34" s="65" t="s">
        <v>478</v>
      </c>
      <c r="C34" s="64"/>
      <c r="D34" s="64"/>
      <c r="E34" s="64"/>
      <c r="F34" s="64"/>
      <c r="G34" s="64"/>
      <c r="H34" s="64"/>
      <c r="I34" s="64"/>
      <c r="J34" s="64"/>
      <c r="K34" s="64"/>
      <c r="L34" s="64"/>
      <c r="M34" s="64"/>
      <c r="N34" s="64"/>
      <c r="O34" s="64"/>
      <c r="P34" s="64"/>
      <c r="Q34" s="64"/>
      <c r="R34" s="64"/>
      <c r="S34" s="64"/>
      <c r="T34" s="64"/>
      <c r="U34" s="64"/>
      <c r="V34" s="64"/>
      <c r="W34" s="64"/>
      <c r="X34" s="64"/>
      <c r="Y34" s="64"/>
      <c r="Z34" s="64"/>
    </row>
    <row r="35" ht="14.25" customHeight="1">
      <c r="A35" s="65" t="s">
        <v>62</v>
      </c>
      <c r="B35" s="65" t="s">
        <v>479</v>
      </c>
      <c r="C35" s="64"/>
      <c r="D35" s="64"/>
      <c r="E35" s="64"/>
      <c r="F35" s="64"/>
      <c r="G35" s="64"/>
      <c r="H35" s="64"/>
      <c r="I35" s="64"/>
      <c r="J35" s="64"/>
      <c r="K35" s="64"/>
      <c r="L35" s="64"/>
      <c r="M35" s="64"/>
      <c r="N35" s="64"/>
      <c r="O35" s="64"/>
      <c r="P35" s="64"/>
      <c r="Q35" s="64"/>
      <c r="R35" s="64"/>
      <c r="S35" s="64"/>
      <c r="T35" s="64"/>
      <c r="U35" s="64"/>
      <c r="V35" s="64"/>
      <c r="W35" s="64"/>
      <c r="X35" s="64"/>
      <c r="Y35" s="64"/>
      <c r="Z35" s="64"/>
    </row>
    <row r="36" ht="14.25" customHeight="1">
      <c r="A36" s="65" t="s">
        <v>133</v>
      </c>
      <c r="B36" s="65" t="s">
        <v>480</v>
      </c>
      <c r="C36" s="64"/>
      <c r="D36" s="64"/>
      <c r="E36" s="64"/>
      <c r="F36" s="64"/>
      <c r="G36" s="64"/>
      <c r="H36" s="64"/>
      <c r="I36" s="64"/>
      <c r="J36" s="64"/>
      <c r="K36" s="64"/>
      <c r="L36" s="64"/>
      <c r="M36" s="64"/>
      <c r="N36" s="64"/>
      <c r="O36" s="64"/>
      <c r="P36" s="64"/>
      <c r="Q36" s="64"/>
      <c r="R36" s="64"/>
      <c r="S36" s="64"/>
      <c r="T36" s="64"/>
      <c r="U36" s="64"/>
      <c r="V36" s="64"/>
      <c r="W36" s="64"/>
      <c r="X36" s="64"/>
      <c r="Y36" s="64"/>
      <c r="Z36" s="64"/>
    </row>
    <row r="37" ht="14.25" customHeight="1">
      <c r="A37" s="65" t="s">
        <v>210</v>
      </c>
      <c r="B37" s="65" t="s">
        <v>481</v>
      </c>
      <c r="C37" s="64"/>
      <c r="D37" s="64"/>
      <c r="E37" s="64"/>
      <c r="F37" s="64"/>
      <c r="G37" s="64"/>
      <c r="H37" s="64"/>
      <c r="I37" s="64"/>
      <c r="J37" s="64"/>
      <c r="K37" s="64"/>
      <c r="L37" s="64"/>
      <c r="M37" s="64"/>
      <c r="N37" s="64"/>
      <c r="O37" s="64"/>
      <c r="P37" s="64"/>
      <c r="Q37" s="64"/>
      <c r="R37" s="64"/>
      <c r="S37" s="64"/>
      <c r="T37" s="64"/>
      <c r="U37" s="64"/>
      <c r="V37" s="64"/>
      <c r="W37" s="64"/>
      <c r="X37" s="64"/>
      <c r="Y37" s="64"/>
      <c r="Z37" s="64"/>
    </row>
    <row r="38" ht="14.25" customHeight="1">
      <c r="A38" s="65" t="s">
        <v>319</v>
      </c>
      <c r="B38" s="65" t="s">
        <v>482</v>
      </c>
      <c r="C38" s="64"/>
      <c r="D38" s="64"/>
      <c r="E38" s="64"/>
      <c r="F38" s="64"/>
      <c r="G38" s="64"/>
      <c r="H38" s="64"/>
      <c r="I38" s="64"/>
      <c r="J38" s="64"/>
      <c r="K38" s="64"/>
      <c r="L38" s="64"/>
      <c r="M38" s="64"/>
      <c r="N38" s="64"/>
      <c r="O38" s="64"/>
      <c r="P38" s="64"/>
      <c r="Q38" s="64"/>
      <c r="R38" s="64"/>
      <c r="S38" s="64"/>
      <c r="T38" s="64"/>
      <c r="U38" s="64"/>
      <c r="V38" s="64"/>
      <c r="W38" s="64"/>
      <c r="X38" s="64"/>
      <c r="Y38" s="64"/>
      <c r="Z38" s="64"/>
    </row>
    <row r="39" ht="14.25" customHeight="1">
      <c r="A39" s="65" t="s">
        <v>360</v>
      </c>
      <c r="B39" s="65" t="s">
        <v>483</v>
      </c>
      <c r="C39" s="64"/>
      <c r="D39" s="64"/>
      <c r="E39" s="64"/>
      <c r="F39" s="64"/>
      <c r="G39" s="64"/>
      <c r="H39" s="64"/>
      <c r="I39" s="64"/>
      <c r="J39" s="64"/>
      <c r="K39" s="64"/>
      <c r="L39" s="64"/>
      <c r="M39" s="64"/>
      <c r="N39" s="64"/>
      <c r="O39" s="64"/>
      <c r="P39" s="64"/>
      <c r="Q39" s="64"/>
      <c r="R39" s="64"/>
      <c r="S39" s="64"/>
      <c r="T39" s="64"/>
      <c r="U39" s="64"/>
      <c r="V39" s="64"/>
      <c r="W39" s="64"/>
      <c r="X39" s="64"/>
      <c r="Y39" s="64"/>
      <c r="Z39" s="64"/>
    </row>
    <row r="40" ht="14.25" customHeight="1">
      <c r="A40" s="63"/>
      <c r="B40" s="63"/>
      <c r="C40" s="64"/>
      <c r="D40" s="64"/>
      <c r="E40" s="64"/>
      <c r="F40" s="64"/>
      <c r="G40" s="64"/>
      <c r="H40" s="64"/>
      <c r="I40" s="64"/>
      <c r="J40" s="64"/>
      <c r="K40" s="64"/>
      <c r="L40" s="64"/>
      <c r="M40" s="64"/>
      <c r="N40" s="64"/>
      <c r="O40" s="64"/>
      <c r="P40" s="64"/>
      <c r="Q40" s="64"/>
      <c r="R40" s="64"/>
      <c r="S40" s="64"/>
      <c r="T40" s="64"/>
      <c r="U40" s="64"/>
      <c r="V40" s="64"/>
      <c r="W40" s="64"/>
      <c r="X40" s="64"/>
      <c r="Y40" s="64"/>
      <c r="Z40" s="64"/>
    </row>
    <row r="41" ht="14.25" customHeight="1">
      <c r="A41" s="65" t="s">
        <v>484</v>
      </c>
      <c r="B41" s="63"/>
      <c r="C41" s="64"/>
      <c r="D41" s="64"/>
      <c r="E41" s="64"/>
      <c r="F41" s="64"/>
      <c r="G41" s="64"/>
      <c r="H41" s="64"/>
      <c r="I41" s="64"/>
      <c r="J41" s="64"/>
      <c r="K41" s="64"/>
      <c r="L41" s="64"/>
      <c r="M41" s="64"/>
      <c r="N41" s="64"/>
      <c r="O41" s="64"/>
      <c r="P41" s="64"/>
      <c r="Q41" s="64"/>
      <c r="R41" s="64"/>
      <c r="S41" s="64"/>
      <c r="T41" s="64"/>
      <c r="U41" s="64"/>
      <c r="V41" s="64"/>
      <c r="W41" s="64"/>
      <c r="X41" s="64"/>
      <c r="Y41" s="64"/>
      <c r="Z41" s="64"/>
    </row>
    <row r="42" ht="14.25" customHeight="1">
      <c r="A42" s="65" t="s">
        <v>485</v>
      </c>
      <c r="B42" s="63">
        <f>COUNTA('機能一覧整理'!A2:A81)</f>
        <v>80</v>
      </c>
      <c r="C42" s="64"/>
      <c r="D42" s="64"/>
      <c r="E42" s="64"/>
      <c r="F42" s="64"/>
      <c r="G42" s="64"/>
      <c r="H42" s="64"/>
      <c r="I42" s="64"/>
      <c r="J42" s="64"/>
      <c r="K42" s="64"/>
      <c r="L42" s="64"/>
      <c r="M42" s="64"/>
      <c r="N42" s="64"/>
      <c r="O42" s="64"/>
      <c r="P42" s="64"/>
      <c r="Q42" s="64"/>
      <c r="R42" s="64"/>
      <c r="S42" s="64"/>
      <c r="T42" s="64"/>
      <c r="U42" s="64"/>
      <c r="V42" s="64"/>
      <c r="W42" s="64"/>
      <c r="X42" s="64"/>
      <c r="Y42" s="64"/>
      <c r="Z42" s="64"/>
    </row>
    <row r="43" ht="14.25" customHeight="1">
      <c r="A43" s="63" t="s">
        <v>486</v>
      </c>
      <c r="B43" s="63">
        <f>COUNTIF('機能一覧整理'!H2:H81,"*MUST*")</f>
        <v>28</v>
      </c>
      <c r="C43" s="64"/>
      <c r="D43" s="64"/>
      <c r="E43" s="64"/>
      <c r="F43" s="64"/>
      <c r="G43" s="64"/>
      <c r="H43" s="64"/>
      <c r="I43" s="64"/>
      <c r="J43" s="64"/>
      <c r="K43" s="64"/>
      <c r="L43" s="64"/>
      <c r="M43" s="64"/>
      <c r="N43" s="64"/>
      <c r="O43" s="64"/>
      <c r="P43" s="64"/>
      <c r="Q43" s="64"/>
      <c r="R43" s="64"/>
      <c r="S43" s="64"/>
      <c r="T43" s="64"/>
      <c r="U43" s="64"/>
      <c r="V43" s="64"/>
      <c r="W43" s="64"/>
      <c r="X43" s="64"/>
      <c r="Y43" s="64"/>
      <c r="Z43" s="64"/>
    </row>
    <row r="44" ht="14.25" customHeight="1">
      <c r="A44" s="63" t="s">
        <v>487</v>
      </c>
      <c r="B44" s="63">
        <f>COUNTIF('機能一覧整理'!H2:H81,"*SHOULD*")</f>
        <v>33</v>
      </c>
      <c r="C44" s="64"/>
      <c r="D44" s="64"/>
      <c r="E44" s="64"/>
      <c r="F44" s="64"/>
      <c r="G44" s="64"/>
      <c r="H44" s="64"/>
      <c r="I44" s="64"/>
      <c r="J44" s="64"/>
      <c r="K44" s="64"/>
      <c r="L44" s="64"/>
      <c r="M44" s="64"/>
      <c r="N44" s="64"/>
      <c r="O44" s="64"/>
      <c r="P44" s="64"/>
      <c r="Q44" s="64"/>
      <c r="R44" s="64"/>
      <c r="S44" s="64"/>
      <c r="T44" s="64"/>
      <c r="U44" s="64"/>
      <c r="V44" s="64"/>
      <c r="W44" s="64"/>
      <c r="X44" s="64"/>
      <c r="Y44" s="64"/>
      <c r="Z44" s="64"/>
    </row>
    <row r="45" ht="14.25" customHeight="1">
      <c r="A45" s="63" t="s">
        <v>488</v>
      </c>
      <c r="B45" s="63">
        <f>COUNTIF('機能一覧整理'!H2:H81,"*CAN*")</f>
        <v>19</v>
      </c>
      <c r="C45" s="64"/>
      <c r="D45" s="64"/>
      <c r="E45" s="64"/>
      <c r="F45" s="64"/>
      <c r="G45" s="64"/>
      <c r="H45" s="64"/>
      <c r="I45" s="64"/>
      <c r="J45" s="64"/>
      <c r="K45" s="64"/>
      <c r="L45" s="64"/>
      <c r="M45" s="64"/>
      <c r="N45" s="64"/>
      <c r="O45" s="64"/>
      <c r="P45" s="64"/>
      <c r="Q45" s="64"/>
      <c r="R45" s="64"/>
      <c r="S45" s="64"/>
      <c r="T45" s="64"/>
      <c r="U45" s="64"/>
      <c r="V45" s="64"/>
      <c r="W45" s="64"/>
      <c r="X45" s="64"/>
      <c r="Y45" s="64"/>
      <c r="Z45" s="64"/>
    </row>
    <row r="46" ht="14.25" customHeight="1">
      <c r="A46" s="63"/>
      <c r="B46" s="63"/>
      <c r="C46" s="64"/>
      <c r="D46" s="64"/>
      <c r="E46" s="64"/>
      <c r="F46" s="64"/>
      <c r="G46" s="64"/>
      <c r="H46" s="64"/>
      <c r="I46" s="64"/>
      <c r="J46" s="64"/>
      <c r="K46" s="64"/>
      <c r="L46" s="64"/>
      <c r="M46" s="64"/>
      <c r="N46" s="64"/>
      <c r="O46" s="64"/>
      <c r="P46" s="64"/>
      <c r="Q46" s="64"/>
      <c r="R46" s="64"/>
      <c r="S46" s="64"/>
      <c r="T46" s="64"/>
      <c r="U46" s="64"/>
      <c r="V46" s="64"/>
      <c r="W46" s="64"/>
      <c r="X46" s="64"/>
      <c r="Y46" s="64"/>
      <c r="Z46" s="64"/>
    </row>
    <row r="47" ht="14.25" customHeight="1">
      <c r="A47" s="65" t="s">
        <v>489</v>
      </c>
      <c r="B47" s="63"/>
      <c r="C47" s="64"/>
      <c r="D47" s="64"/>
      <c r="E47" s="64"/>
      <c r="F47" s="64"/>
      <c r="G47" s="64"/>
      <c r="H47" s="64"/>
      <c r="I47" s="64"/>
      <c r="J47" s="64"/>
      <c r="K47" s="64"/>
      <c r="L47" s="64"/>
      <c r="M47" s="64"/>
      <c r="N47" s="64"/>
      <c r="O47" s="64"/>
      <c r="P47" s="64"/>
      <c r="Q47" s="64"/>
      <c r="R47" s="64"/>
      <c r="S47" s="64"/>
      <c r="T47" s="64"/>
      <c r="U47" s="64"/>
      <c r="V47" s="64"/>
      <c r="W47" s="64"/>
      <c r="X47" s="64"/>
      <c r="Y47" s="64"/>
      <c r="Z47" s="64"/>
    </row>
    <row r="48" ht="14.25" customHeight="1">
      <c r="A48" s="63" t="s">
        <v>490</v>
      </c>
      <c r="B48" s="63">
        <f>COUNTIF('機能一覧整理'!J2:J81,"7月リリース")</f>
        <v>0</v>
      </c>
      <c r="C48" s="64"/>
      <c r="D48" s="64"/>
      <c r="E48" s="64"/>
      <c r="F48" s="64"/>
      <c r="G48" s="64"/>
      <c r="H48" s="64"/>
      <c r="I48" s="64"/>
      <c r="J48" s="64"/>
      <c r="K48" s="64"/>
      <c r="L48" s="64"/>
      <c r="M48" s="64"/>
      <c r="N48" s="64"/>
      <c r="O48" s="64"/>
      <c r="P48" s="64"/>
      <c r="Q48" s="64"/>
      <c r="R48" s="64"/>
      <c r="S48" s="64"/>
      <c r="T48" s="64"/>
      <c r="U48" s="64"/>
      <c r="V48" s="64"/>
      <c r="W48" s="64"/>
      <c r="X48" s="64"/>
      <c r="Y48" s="64"/>
      <c r="Z48" s="64"/>
    </row>
    <row r="49" ht="14.25" customHeight="1">
      <c r="A49" s="63" t="s">
        <v>491</v>
      </c>
      <c r="B49" s="63">
        <f>COUNTIF('機能一覧整理'!J2:J81,"9月リリース")</f>
        <v>0</v>
      </c>
      <c r="C49" s="64"/>
      <c r="D49" s="64"/>
      <c r="E49" s="64"/>
      <c r="F49" s="64"/>
      <c r="G49" s="64"/>
      <c r="H49" s="64"/>
      <c r="I49" s="64"/>
      <c r="J49" s="64"/>
      <c r="K49" s="64"/>
      <c r="L49" s="64"/>
      <c r="M49" s="64"/>
      <c r="N49" s="64"/>
      <c r="O49" s="64"/>
      <c r="P49" s="64"/>
      <c r="Q49" s="64"/>
      <c r="R49" s="64"/>
      <c r="S49" s="64"/>
      <c r="T49" s="64"/>
      <c r="U49" s="64"/>
      <c r="V49" s="64"/>
      <c r="W49" s="64"/>
      <c r="X49" s="64"/>
      <c r="Y49" s="64"/>
      <c r="Z49" s="64"/>
    </row>
    <row r="50" ht="14.25" customHeight="1">
      <c r="A50" s="65" t="s">
        <v>492</v>
      </c>
      <c r="B50" s="63">
        <f>COUNTIF('機能一覧整理'!J2:J81,"運用中追加")</f>
        <v>0</v>
      </c>
      <c r="C50" s="64"/>
      <c r="D50" s="64"/>
      <c r="E50" s="64"/>
      <c r="F50" s="64"/>
      <c r="G50" s="64"/>
      <c r="H50" s="64"/>
      <c r="I50" s="64"/>
      <c r="J50" s="64"/>
      <c r="K50" s="64"/>
      <c r="L50" s="64"/>
      <c r="M50" s="64"/>
      <c r="N50" s="64"/>
      <c r="O50" s="64"/>
      <c r="P50" s="64"/>
      <c r="Q50" s="64"/>
      <c r="R50" s="64"/>
      <c r="S50" s="64"/>
      <c r="T50" s="64"/>
      <c r="U50" s="64"/>
      <c r="V50" s="64"/>
      <c r="W50" s="64"/>
      <c r="X50" s="64"/>
      <c r="Y50" s="64"/>
      <c r="Z50" s="64"/>
    </row>
    <row r="51" ht="14.25" customHeight="1">
      <c r="A51" s="63" t="s">
        <v>365</v>
      </c>
      <c r="B51" s="63">
        <f>COUNTIF('機能一覧整理'!J2:J81,"Phase 2以降")</f>
        <v>11</v>
      </c>
      <c r="C51" s="64"/>
      <c r="D51" s="64"/>
      <c r="E51" s="64"/>
      <c r="F51" s="64"/>
      <c r="G51" s="64"/>
      <c r="H51" s="64"/>
      <c r="I51" s="64"/>
      <c r="J51" s="64"/>
      <c r="K51" s="64"/>
      <c r="L51" s="64"/>
      <c r="M51" s="64"/>
      <c r="N51" s="64"/>
      <c r="O51" s="64"/>
      <c r="P51" s="64"/>
      <c r="Q51" s="64"/>
      <c r="R51" s="64"/>
      <c r="S51" s="64"/>
      <c r="T51" s="64"/>
      <c r="U51" s="64"/>
      <c r="V51" s="64"/>
      <c r="W51" s="64"/>
      <c r="X51" s="64"/>
      <c r="Y51" s="64"/>
      <c r="Z51" s="64"/>
    </row>
    <row r="52" ht="14.25" customHeight="1">
      <c r="A52" s="65" t="s">
        <v>374</v>
      </c>
      <c r="B52" s="63">
        <f>COUNTIF('機能一覧整理'!J2:J81,"条件付き")</f>
        <v>2</v>
      </c>
      <c r="C52" s="64"/>
      <c r="D52" s="64"/>
      <c r="E52" s="64"/>
      <c r="F52" s="64"/>
      <c r="G52" s="64"/>
      <c r="H52" s="64"/>
      <c r="I52" s="64"/>
      <c r="J52" s="64"/>
      <c r="K52" s="64"/>
      <c r="L52" s="64"/>
      <c r="M52" s="64"/>
      <c r="N52" s="64"/>
      <c r="O52" s="64"/>
      <c r="P52" s="64"/>
      <c r="Q52" s="64"/>
      <c r="R52" s="64"/>
      <c r="S52" s="64"/>
      <c r="T52" s="64"/>
      <c r="U52" s="64"/>
      <c r="V52" s="64"/>
      <c r="W52" s="64"/>
      <c r="X52" s="64"/>
      <c r="Y52" s="64"/>
      <c r="Z52" s="64"/>
    </row>
    <row r="53" ht="14.25" customHeight="1">
      <c r="A53" s="65" t="s">
        <v>25</v>
      </c>
      <c r="B53" s="63">
        <f>COUNTIF('機能一覧整理'!J2:J81,"実装済")</f>
        <v>4</v>
      </c>
      <c r="C53" s="64"/>
      <c r="D53" s="64"/>
      <c r="E53" s="64"/>
      <c r="F53" s="64"/>
      <c r="G53" s="64"/>
      <c r="H53" s="64"/>
      <c r="I53" s="64"/>
      <c r="J53" s="64"/>
      <c r="K53" s="64"/>
      <c r="L53" s="64"/>
      <c r="M53" s="64"/>
      <c r="N53" s="64"/>
      <c r="O53" s="64"/>
      <c r="P53" s="64"/>
      <c r="Q53" s="64"/>
      <c r="R53" s="64"/>
      <c r="S53" s="64"/>
      <c r="T53" s="64"/>
      <c r="U53" s="64"/>
      <c r="V53" s="64"/>
      <c r="W53" s="64"/>
      <c r="X53" s="64"/>
      <c r="Y53" s="64"/>
      <c r="Z53" s="64"/>
    </row>
    <row r="54" ht="14.25" customHeight="1">
      <c r="A54" s="63"/>
      <c r="B54" s="63"/>
      <c r="C54" s="64"/>
      <c r="D54" s="64"/>
      <c r="E54" s="64"/>
      <c r="F54" s="64"/>
      <c r="G54" s="64"/>
      <c r="H54" s="64"/>
      <c r="I54" s="64"/>
      <c r="J54" s="64"/>
      <c r="K54" s="64"/>
      <c r="L54" s="64"/>
      <c r="M54" s="64"/>
      <c r="N54" s="64"/>
      <c r="O54" s="64"/>
      <c r="P54" s="64"/>
      <c r="Q54" s="64"/>
      <c r="R54" s="64"/>
      <c r="S54" s="64"/>
      <c r="T54" s="64"/>
      <c r="U54" s="64"/>
      <c r="V54" s="64"/>
      <c r="W54" s="64"/>
      <c r="X54" s="64"/>
      <c r="Y54" s="64"/>
      <c r="Z54" s="64"/>
    </row>
    <row r="55" ht="14.25" customHeight="1">
      <c r="A55" s="65" t="s">
        <v>493</v>
      </c>
      <c r="B55" s="63"/>
      <c r="C55" s="64"/>
      <c r="D55" s="64"/>
      <c r="E55" s="64"/>
      <c r="F55" s="64"/>
      <c r="G55" s="64"/>
      <c r="H55" s="64"/>
      <c r="I55" s="64"/>
      <c r="J55" s="64"/>
      <c r="K55" s="64"/>
      <c r="L55" s="64"/>
      <c r="M55" s="64"/>
      <c r="N55" s="64"/>
      <c r="O55" s="64"/>
      <c r="P55" s="64"/>
      <c r="Q55" s="64"/>
      <c r="R55" s="64"/>
      <c r="S55" s="64"/>
      <c r="T55" s="64"/>
      <c r="U55" s="64"/>
      <c r="V55" s="64"/>
      <c r="W55" s="64"/>
      <c r="X55" s="64"/>
      <c r="Y55" s="64"/>
      <c r="Z55" s="64"/>
    </row>
    <row r="56" ht="14.25" customHeight="1">
      <c r="A56" s="63" t="s">
        <v>494</v>
      </c>
      <c r="B56" s="63">
        <f>COUNTIF('機能一覧整理'!G2:G81,"v1初版")</f>
        <v>45</v>
      </c>
      <c r="C56" s="64"/>
      <c r="D56" s="64"/>
      <c r="E56" s="64"/>
      <c r="F56" s="64"/>
      <c r="G56" s="64"/>
      <c r="H56" s="64"/>
      <c r="I56" s="64"/>
      <c r="J56" s="64"/>
      <c r="K56" s="64"/>
      <c r="L56" s="64"/>
      <c r="M56" s="64"/>
      <c r="N56" s="64"/>
      <c r="O56" s="64"/>
      <c r="P56" s="64"/>
      <c r="Q56" s="64"/>
      <c r="R56" s="64"/>
      <c r="S56" s="64"/>
      <c r="T56" s="64"/>
      <c r="U56" s="64"/>
      <c r="V56" s="64"/>
      <c r="W56" s="64"/>
      <c r="X56" s="64"/>
      <c r="Y56" s="64"/>
      <c r="Z56" s="64"/>
    </row>
    <row r="57" ht="14.25" customHeight="1">
      <c r="A57" s="63" t="s">
        <v>495</v>
      </c>
      <c r="B57" s="63">
        <f>COUNTIF('機能一覧整理'!G2:G81,"2026-04-22")</f>
        <v>15</v>
      </c>
      <c r="C57" s="64"/>
      <c r="D57" s="64"/>
      <c r="E57" s="64"/>
      <c r="F57" s="64"/>
      <c r="G57" s="64"/>
      <c r="H57" s="64"/>
      <c r="I57" s="64"/>
      <c r="J57" s="64"/>
      <c r="K57" s="64"/>
      <c r="L57" s="64"/>
      <c r="M57" s="64"/>
      <c r="N57" s="64"/>
      <c r="O57" s="64"/>
      <c r="P57" s="64"/>
      <c r="Q57" s="64"/>
      <c r="R57" s="64"/>
      <c r="S57" s="64"/>
      <c r="T57" s="64"/>
      <c r="U57" s="64"/>
      <c r="V57" s="64"/>
      <c r="W57" s="64"/>
      <c r="X57" s="64"/>
      <c r="Y57" s="64"/>
      <c r="Z57" s="64"/>
    </row>
    <row r="58" ht="14.25" customHeight="1">
      <c r="A58" s="63" t="s">
        <v>496</v>
      </c>
      <c r="B58" s="63">
        <f>COUNTIF('機能一覧整理'!G2:G81,"2026-04-24")</f>
        <v>19</v>
      </c>
      <c r="C58" s="64"/>
      <c r="D58" s="64"/>
      <c r="E58" s="64"/>
      <c r="F58" s="64"/>
      <c r="G58" s="64"/>
      <c r="H58" s="64"/>
      <c r="I58" s="64"/>
      <c r="J58" s="64"/>
      <c r="K58" s="64"/>
      <c r="L58" s="64"/>
      <c r="M58" s="64"/>
      <c r="N58" s="64"/>
      <c r="O58" s="64"/>
      <c r="P58" s="64"/>
      <c r="Q58" s="64"/>
      <c r="R58" s="64"/>
      <c r="S58" s="64"/>
      <c r="T58" s="64"/>
      <c r="U58" s="64"/>
      <c r="V58" s="64"/>
      <c r="W58" s="64"/>
      <c r="X58" s="64"/>
      <c r="Y58" s="64"/>
      <c r="Z58" s="64"/>
    </row>
    <row r="59" ht="14.25" customHeight="1">
      <c r="A59" s="64"/>
      <c r="B59" s="64"/>
      <c r="C59" s="64"/>
      <c r="D59" s="64"/>
      <c r="E59" s="64"/>
      <c r="F59" s="64"/>
      <c r="G59" s="64"/>
      <c r="H59" s="64"/>
      <c r="I59" s="64"/>
      <c r="J59" s="64"/>
      <c r="K59" s="64"/>
      <c r="L59" s="64"/>
      <c r="M59" s="64"/>
      <c r="N59" s="64"/>
      <c r="O59" s="64"/>
      <c r="P59" s="64"/>
      <c r="Q59" s="64"/>
      <c r="R59" s="64"/>
      <c r="S59" s="64"/>
      <c r="T59" s="64"/>
      <c r="U59" s="64"/>
      <c r="V59" s="64"/>
      <c r="W59" s="64"/>
      <c r="X59" s="64"/>
      <c r="Y59" s="64"/>
      <c r="Z59" s="64"/>
    </row>
    <row r="60" ht="14.25" customHeight="1">
      <c r="A60" s="64"/>
      <c r="B60" s="64"/>
      <c r="C60" s="64"/>
      <c r="D60" s="64"/>
      <c r="E60" s="64"/>
      <c r="F60" s="64"/>
      <c r="G60" s="64"/>
      <c r="H60" s="64"/>
      <c r="I60" s="64"/>
      <c r="J60" s="64"/>
      <c r="K60" s="64"/>
      <c r="L60" s="64"/>
      <c r="M60" s="64"/>
      <c r="N60" s="64"/>
      <c r="O60" s="64"/>
      <c r="P60" s="64"/>
      <c r="Q60" s="64"/>
      <c r="R60" s="64"/>
      <c r="S60" s="64"/>
      <c r="T60" s="64"/>
      <c r="U60" s="64"/>
      <c r="V60" s="64"/>
      <c r="W60" s="64"/>
      <c r="X60" s="64"/>
      <c r="Y60" s="64"/>
      <c r="Z60" s="64"/>
    </row>
    <row r="61" ht="14.25" customHeight="1">
      <c r="A61" s="64"/>
      <c r="B61" s="64"/>
      <c r="C61" s="64"/>
      <c r="D61" s="64"/>
      <c r="E61" s="64"/>
      <c r="F61" s="64"/>
      <c r="G61" s="64"/>
      <c r="H61" s="64"/>
      <c r="I61" s="64"/>
      <c r="J61" s="64"/>
      <c r="K61" s="64"/>
      <c r="L61" s="64"/>
      <c r="M61" s="64"/>
      <c r="N61" s="64"/>
      <c r="O61" s="64"/>
      <c r="P61" s="64"/>
      <c r="Q61" s="64"/>
      <c r="R61" s="64"/>
      <c r="S61" s="64"/>
      <c r="T61" s="64"/>
      <c r="U61" s="64"/>
      <c r="V61" s="64"/>
      <c r="W61" s="64"/>
      <c r="X61" s="64"/>
      <c r="Y61" s="64"/>
      <c r="Z61" s="64"/>
    </row>
    <row r="62" ht="14.25" customHeight="1">
      <c r="A62" s="64"/>
      <c r="B62" s="64"/>
      <c r="C62" s="64"/>
      <c r="D62" s="64"/>
      <c r="E62" s="64"/>
      <c r="F62" s="64"/>
      <c r="G62" s="64"/>
      <c r="H62" s="64"/>
      <c r="I62" s="64"/>
      <c r="J62" s="64"/>
      <c r="K62" s="64"/>
      <c r="L62" s="64"/>
      <c r="M62" s="64"/>
      <c r="N62" s="64"/>
      <c r="O62" s="64"/>
      <c r="P62" s="64"/>
      <c r="Q62" s="64"/>
      <c r="R62" s="64"/>
      <c r="S62" s="64"/>
      <c r="T62" s="64"/>
      <c r="U62" s="64"/>
      <c r="V62" s="64"/>
      <c r="W62" s="64"/>
      <c r="X62" s="64"/>
      <c r="Y62" s="64"/>
      <c r="Z62" s="64"/>
    </row>
    <row r="63" ht="14.25" customHeight="1">
      <c r="A63" s="64"/>
      <c r="B63" s="64"/>
      <c r="C63" s="64"/>
      <c r="D63" s="64"/>
      <c r="E63" s="64"/>
      <c r="F63" s="64"/>
      <c r="G63" s="64"/>
      <c r="H63" s="64"/>
      <c r="I63" s="64"/>
      <c r="J63" s="64"/>
      <c r="K63" s="64"/>
      <c r="L63" s="64"/>
      <c r="M63" s="64"/>
      <c r="N63" s="64"/>
      <c r="O63" s="64"/>
      <c r="P63" s="64"/>
      <c r="Q63" s="64"/>
      <c r="R63" s="64"/>
      <c r="S63" s="64"/>
      <c r="T63" s="64"/>
      <c r="U63" s="64"/>
      <c r="V63" s="64"/>
      <c r="W63" s="64"/>
      <c r="X63" s="64"/>
      <c r="Y63" s="64"/>
      <c r="Z63" s="64"/>
    </row>
    <row r="64" ht="14.25" customHeight="1">
      <c r="A64" s="64"/>
      <c r="B64" s="64"/>
      <c r="C64" s="64"/>
      <c r="D64" s="64"/>
      <c r="E64" s="64"/>
      <c r="F64" s="64"/>
      <c r="G64" s="64"/>
      <c r="H64" s="64"/>
      <c r="I64" s="64"/>
      <c r="J64" s="64"/>
      <c r="K64" s="64"/>
      <c r="L64" s="64"/>
      <c r="M64" s="64"/>
      <c r="N64" s="64"/>
      <c r="O64" s="64"/>
      <c r="P64" s="64"/>
      <c r="Q64" s="64"/>
      <c r="R64" s="64"/>
      <c r="S64" s="64"/>
      <c r="T64" s="64"/>
      <c r="U64" s="64"/>
      <c r="V64" s="64"/>
      <c r="W64" s="64"/>
      <c r="X64" s="64"/>
      <c r="Y64" s="64"/>
      <c r="Z64" s="64"/>
    </row>
    <row r="65" ht="14.25" customHeight="1">
      <c r="A65" s="64"/>
      <c r="B65" s="64"/>
      <c r="C65" s="64"/>
      <c r="D65" s="64"/>
      <c r="E65" s="64"/>
      <c r="F65" s="64"/>
      <c r="G65" s="64"/>
      <c r="H65" s="64"/>
      <c r="I65" s="64"/>
      <c r="J65" s="64"/>
      <c r="K65" s="64"/>
      <c r="L65" s="64"/>
      <c r="M65" s="64"/>
      <c r="N65" s="64"/>
      <c r="O65" s="64"/>
      <c r="P65" s="64"/>
      <c r="Q65" s="64"/>
      <c r="R65" s="64"/>
      <c r="S65" s="64"/>
      <c r="T65" s="64"/>
      <c r="U65" s="64"/>
      <c r="V65" s="64"/>
      <c r="W65" s="64"/>
      <c r="X65" s="64"/>
      <c r="Y65" s="64"/>
      <c r="Z65" s="64"/>
    </row>
    <row r="66" ht="14.25" customHeight="1">
      <c r="A66" s="64"/>
      <c r="B66" s="64"/>
      <c r="C66" s="64"/>
      <c r="D66" s="64"/>
      <c r="E66" s="64"/>
      <c r="F66" s="64"/>
      <c r="G66" s="64"/>
      <c r="H66" s="64"/>
      <c r="I66" s="64"/>
      <c r="J66" s="64"/>
      <c r="K66" s="64"/>
      <c r="L66" s="64"/>
      <c r="M66" s="64"/>
      <c r="N66" s="64"/>
      <c r="O66" s="64"/>
      <c r="P66" s="64"/>
      <c r="Q66" s="64"/>
      <c r="R66" s="64"/>
      <c r="S66" s="64"/>
      <c r="T66" s="64"/>
      <c r="U66" s="64"/>
      <c r="V66" s="64"/>
      <c r="W66" s="64"/>
      <c r="X66" s="64"/>
      <c r="Y66" s="64"/>
      <c r="Z66" s="64"/>
    </row>
    <row r="67" ht="14.25" customHeight="1">
      <c r="A67" s="64"/>
      <c r="B67" s="64"/>
      <c r="C67" s="64"/>
      <c r="D67" s="64"/>
      <c r="E67" s="64"/>
      <c r="F67" s="64"/>
      <c r="G67" s="64"/>
      <c r="H67" s="64"/>
      <c r="I67" s="64"/>
      <c r="J67" s="64"/>
      <c r="K67" s="64"/>
      <c r="L67" s="64"/>
      <c r="M67" s="64"/>
      <c r="N67" s="64"/>
      <c r="O67" s="64"/>
      <c r="P67" s="64"/>
      <c r="Q67" s="64"/>
      <c r="R67" s="64"/>
      <c r="S67" s="64"/>
      <c r="T67" s="64"/>
      <c r="U67" s="64"/>
      <c r="V67" s="64"/>
      <c r="W67" s="64"/>
      <c r="X67" s="64"/>
      <c r="Y67" s="64"/>
      <c r="Z67" s="64"/>
    </row>
    <row r="68" ht="14.25" customHeight="1">
      <c r="A68" s="64"/>
      <c r="B68" s="64"/>
      <c r="C68" s="64"/>
      <c r="D68" s="64"/>
      <c r="E68" s="64"/>
      <c r="F68" s="64"/>
      <c r="G68" s="64"/>
      <c r="H68" s="64"/>
      <c r="I68" s="64"/>
      <c r="J68" s="64"/>
      <c r="K68" s="64"/>
      <c r="L68" s="64"/>
      <c r="M68" s="64"/>
      <c r="N68" s="64"/>
      <c r="O68" s="64"/>
      <c r="P68" s="64"/>
      <c r="Q68" s="64"/>
      <c r="R68" s="64"/>
      <c r="S68" s="64"/>
      <c r="T68" s="64"/>
      <c r="U68" s="64"/>
      <c r="V68" s="64"/>
      <c r="W68" s="64"/>
      <c r="X68" s="64"/>
      <c r="Y68" s="64"/>
      <c r="Z68" s="64"/>
    </row>
    <row r="69" ht="14.25" customHeight="1">
      <c r="A69" s="64"/>
      <c r="B69" s="64"/>
      <c r="C69" s="64"/>
      <c r="D69" s="64"/>
      <c r="E69" s="64"/>
      <c r="F69" s="64"/>
      <c r="G69" s="64"/>
      <c r="H69" s="64"/>
      <c r="I69" s="64"/>
      <c r="J69" s="64"/>
      <c r="K69" s="64"/>
      <c r="L69" s="64"/>
      <c r="M69" s="64"/>
      <c r="N69" s="64"/>
      <c r="O69" s="64"/>
      <c r="P69" s="64"/>
      <c r="Q69" s="64"/>
      <c r="R69" s="64"/>
      <c r="S69" s="64"/>
      <c r="T69" s="64"/>
      <c r="U69" s="64"/>
      <c r="V69" s="64"/>
      <c r="W69" s="64"/>
      <c r="X69" s="64"/>
      <c r="Y69" s="64"/>
      <c r="Z69" s="64"/>
    </row>
    <row r="70" ht="14.25" customHeight="1">
      <c r="A70" s="64"/>
      <c r="B70" s="64"/>
      <c r="C70" s="64"/>
      <c r="D70" s="64"/>
      <c r="E70" s="64"/>
      <c r="F70" s="64"/>
      <c r="G70" s="64"/>
      <c r="H70" s="64"/>
      <c r="I70" s="64"/>
      <c r="J70" s="64"/>
      <c r="K70" s="64"/>
      <c r="L70" s="64"/>
      <c r="M70" s="64"/>
      <c r="N70" s="64"/>
      <c r="O70" s="64"/>
      <c r="P70" s="64"/>
      <c r="Q70" s="64"/>
      <c r="R70" s="64"/>
      <c r="S70" s="64"/>
      <c r="T70" s="64"/>
      <c r="U70" s="64"/>
      <c r="V70" s="64"/>
      <c r="W70" s="64"/>
      <c r="X70" s="64"/>
      <c r="Y70" s="64"/>
      <c r="Z70" s="64"/>
    </row>
    <row r="71" ht="14.25" customHeight="1">
      <c r="A71" s="64"/>
      <c r="B71" s="64"/>
      <c r="C71" s="64"/>
      <c r="D71" s="64"/>
      <c r="E71" s="64"/>
      <c r="F71" s="64"/>
      <c r="G71" s="64"/>
      <c r="H71" s="64"/>
      <c r="I71" s="64"/>
      <c r="J71" s="64"/>
      <c r="K71" s="64"/>
      <c r="L71" s="64"/>
      <c r="M71" s="64"/>
      <c r="N71" s="64"/>
      <c r="O71" s="64"/>
      <c r="P71" s="64"/>
      <c r="Q71" s="64"/>
      <c r="R71" s="64"/>
      <c r="S71" s="64"/>
      <c r="T71" s="64"/>
      <c r="U71" s="64"/>
      <c r="V71" s="64"/>
      <c r="W71" s="64"/>
      <c r="X71" s="64"/>
      <c r="Y71" s="64"/>
      <c r="Z71" s="64"/>
    </row>
    <row r="72" ht="14.25" customHeight="1">
      <c r="A72" s="64"/>
      <c r="B72" s="64"/>
      <c r="C72" s="64"/>
      <c r="D72" s="64"/>
      <c r="E72" s="64"/>
      <c r="F72" s="64"/>
      <c r="G72" s="64"/>
      <c r="H72" s="64"/>
      <c r="I72" s="64"/>
      <c r="J72" s="64"/>
      <c r="K72" s="64"/>
      <c r="L72" s="64"/>
      <c r="M72" s="64"/>
      <c r="N72" s="64"/>
      <c r="O72" s="64"/>
      <c r="P72" s="64"/>
      <c r="Q72" s="64"/>
      <c r="R72" s="64"/>
      <c r="S72" s="64"/>
      <c r="T72" s="64"/>
      <c r="U72" s="64"/>
      <c r="V72" s="64"/>
      <c r="W72" s="64"/>
      <c r="X72" s="64"/>
      <c r="Y72" s="64"/>
      <c r="Z72" s="64"/>
    </row>
    <row r="73" ht="14.25" customHeight="1">
      <c r="A73" s="64"/>
      <c r="B73" s="64"/>
      <c r="C73" s="64"/>
      <c r="D73" s="64"/>
      <c r="E73" s="64"/>
      <c r="F73" s="64"/>
      <c r="G73" s="64"/>
      <c r="H73" s="64"/>
      <c r="I73" s="64"/>
      <c r="J73" s="64"/>
      <c r="K73" s="64"/>
      <c r="L73" s="64"/>
      <c r="M73" s="64"/>
      <c r="N73" s="64"/>
      <c r="O73" s="64"/>
      <c r="P73" s="64"/>
      <c r="Q73" s="64"/>
      <c r="R73" s="64"/>
      <c r="S73" s="64"/>
      <c r="T73" s="64"/>
      <c r="U73" s="64"/>
      <c r="V73" s="64"/>
      <c r="W73" s="64"/>
      <c r="X73" s="64"/>
      <c r="Y73" s="64"/>
      <c r="Z73" s="64"/>
    </row>
    <row r="74" ht="14.25" customHeight="1">
      <c r="A74" s="64"/>
      <c r="B74" s="64"/>
      <c r="C74" s="64"/>
      <c r="D74" s="64"/>
      <c r="E74" s="64"/>
      <c r="F74" s="64"/>
      <c r="G74" s="64"/>
      <c r="H74" s="64"/>
      <c r="I74" s="64"/>
      <c r="J74" s="64"/>
      <c r="K74" s="64"/>
      <c r="L74" s="64"/>
      <c r="M74" s="64"/>
      <c r="N74" s="64"/>
      <c r="O74" s="64"/>
      <c r="P74" s="64"/>
      <c r="Q74" s="64"/>
      <c r="R74" s="64"/>
      <c r="S74" s="64"/>
      <c r="T74" s="64"/>
      <c r="U74" s="64"/>
      <c r="V74" s="64"/>
      <c r="W74" s="64"/>
      <c r="X74" s="64"/>
      <c r="Y74" s="64"/>
      <c r="Z74" s="64"/>
    </row>
    <row r="75" ht="14.25" customHeight="1">
      <c r="A75" s="64"/>
      <c r="B75" s="64"/>
      <c r="C75" s="64"/>
      <c r="D75" s="64"/>
      <c r="E75" s="64"/>
      <c r="F75" s="64"/>
      <c r="G75" s="64"/>
      <c r="H75" s="64"/>
      <c r="I75" s="64"/>
      <c r="J75" s="64"/>
      <c r="K75" s="64"/>
      <c r="L75" s="64"/>
      <c r="M75" s="64"/>
      <c r="N75" s="64"/>
      <c r="O75" s="64"/>
      <c r="P75" s="64"/>
      <c r="Q75" s="64"/>
      <c r="R75" s="64"/>
      <c r="S75" s="64"/>
      <c r="T75" s="64"/>
      <c r="U75" s="64"/>
      <c r="V75" s="64"/>
      <c r="W75" s="64"/>
      <c r="X75" s="64"/>
      <c r="Y75" s="64"/>
      <c r="Z75" s="64"/>
    </row>
    <row r="76" ht="14.25" customHeight="1">
      <c r="A76" s="64"/>
      <c r="B76" s="64"/>
      <c r="C76" s="64"/>
      <c r="D76" s="64"/>
      <c r="E76" s="64"/>
      <c r="F76" s="64"/>
      <c r="G76" s="64"/>
      <c r="H76" s="64"/>
      <c r="I76" s="64"/>
      <c r="J76" s="64"/>
      <c r="K76" s="64"/>
      <c r="L76" s="64"/>
      <c r="M76" s="64"/>
      <c r="N76" s="64"/>
      <c r="O76" s="64"/>
      <c r="P76" s="64"/>
      <c r="Q76" s="64"/>
      <c r="R76" s="64"/>
      <c r="S76" s="64"/>
      <c r="T76" s="64"/>
      <c r="U76" s="64"/>
      <c r="V76" s="64"/>
      <c r="W76" s="64"/>
      <c r="X76" s="64"/>
      <c r="Y76" s="64"/>
      <c r="Z76" s="64"/>
    </row>
    <row r="77" ht="14.25" customHeight="1">
      <c r="A77" s="64"/>
      <c r="B77" s="64"/>
      <c r="C77" s="64"/>
      <c r="D77" s="64"/>
      <c r="E77" s="64"/>
      <c r="F77" s="64"/>
      <c r="G77" s="64"/>
      <c r="H77" s="64"/>
      <c r="I77" s="64"/>
      <c r="J77" s="64"/>
      <c r="K77" s="64"/>
      <c r="L77" s="64"/>
      <c r="M77" s="64"/>
      <c r="N77" s="64"/>
      <c r="O77" s="64"/>
      <c r="P77" s="64"/>
      <c r="Q77" s="64"/>
      <c r="R77" s="64"/>
      <c r="S77" s="64"/>
      <c r="T77" s="64"/>
      <c r="U77" s="64"/>
      <c r="V77" s="64"/>
      <c r="W77" s="64"/>
      <c r="X77" s="64"/>
      <c r="Y77" s="64"/>
      <c r="Z77" s="64"/>
    </row>
    <row r="78" ht="14.25" customHeight="1">
      <c r="A78" s="64"/>
      <c r="B78" s="64"/>
      <c r="C78" s="64"/>
      <c r="D78" s="64"/>
      <c r="E78" s="64"/>
      <c r="F78" s="64"/>
      <c r="G78" s="64"/>
      <c r="H78" s="64"/>
      <c r="I78" s="64"/>
      <c r="J78" s="64"/>
      <c r="K78" s="64"/>
      <c r="L78" s="64"/>
      <c r="M78" s="64"/>
      <c r="N78" s="64"/>
      <c r="O78" s="64"/>
      <c r="P78" s="64"/>
      <c r="Q78" s="64"/>
      <c r="R78" s="64"/>
      <c r="S78" s="64"/>
      <c r="T78" s="64"/>
      <c r="U78" s="64"/>
      <c r="V78" s="64"/>
      <c r="W78" s="64"/>
      <c r="X78" s="64"/>
      <c r="Y78" s="64"/>
      <c r="Z78" s="64"/>
    </row>
    <row r="79" ht="14.25" customHeight="1">
      <c r="A79" s="64"/>
      <c r="B79" s="64"/>
      <c r="C79" s="64"/>
      <c r="D79" s="64"/>
      <c r="E79" s="64"/>
      <c r="F79" s="64"/>
      <c r="G79" s="64"/>
      <c r="H79" s="64"/>
      <c r="I79" s="64"/>
      <c r="J79" s="64"/>
      <c r="K79" s="64"/>
      <c r="L79" s="64"/>
      <c r="M79" s="64"/>
      <c r="N79" s="64"/>
      <c r="O79" s="64"/>
      <c r="P79" s="64"/>
      <c r="Q79" s="64"/>
      <c r="R79" s="64"/>
      <c r="S79" s="64"/>
      <c r="T79" s="64"/>
      <c r="U79" s="64"/>
      <c r="V79" s="64"/>
      <c r="W79" s="64"/>
      <c r="X79" s="64"/>
      <c r="Y79" s="64"/>
      <c r="Z79" s="64"/>
    </row>
    <row r="80" ht="14.25" customHeight="1">
      <c r="A80" s="64"/>
      <c r="B80" s="64"/>
      <c r="C80" s="64"/>
      <c r="D80" s="64"/>
      <c r="E80" s="64"/>
      <c r="F80" s="64"/>
      <c r="G80" s="64"/>
      <c r="H80" s="64"/>
      <c r="I80" s="64"/>
      <c r="J80" s="64"/>
      <c r="K80" s="64"/>
      <c r="L80" s="64"/>
      <c r="M80" s="64"/>
      <c r="N80" s="64"/>
      <c r="O80" s="64"/>
      <c r="P80" s="64"/>
      <c r="Q80" s="64"/>
      <c r="R80" s="64"/>
      <c r="S80" s="64"/>
      <c r="T80" s="64"/>
      <c r="U80" s="64"/>
      <c r="V80" s="64"/>
      <c r="W80" s="64"/>
      <c r="X80" s="64"/>
      <c r="Y80" s="64"/>
      <c r="Z80" s="64"/>
    </row>
    <row r="81" ht="14.25" customHeight="1">
      <c r="A81" s="64"/>
      <c r="B81" s="64"/>
      <c r="C81" s="64"/>
      <c r="D81" s="64"/>
      <c r="E81" s="64"/>
      <c r="F81" s="64"/>
      <c r="G81" s="64"/>
      <c r="H81" s="64"/>
      <c r="I81" s="64"/>
      <c r="J81" s="64"/>
      <c r="K81" s="64"/>
      <c r="L81" s="64"/>
      <c r="M81" s="64"/>
      <c r="N81" s="64"/>
      <c r="O81" s="64"/>
      <c r="P81" s="64"/>
      <c r="Q81" s="64"/>
      <c r="R81" s="64"/>
      <c r="S81" s="64"/>
      <c r="T81" s="64"/>
      <c r="U81" s="64"/>
      <c r="V81" s="64"/>
      <c r="W81" s="64"/>
      <c r="X81" s="64"/>
      <c r="Y81" s="64"/>
      <c r="Z81" s="64"/>
    </row>
    <row r="82" ht="14.25" customHeight="1">
      <c r="A82" s="64"/>
      <c r="B82" s="64"/>
      <c r="C82" s="64"/>
      <c r="D82" s="64"/>
      <c r="E82" s="64"/>
      <c r="F82" s="64"/>
      <c r="G82" s="64"/>
      <c r="H82" s="64"/>
      <c r="I82" s="64"/>
      <c r="J82" s="64"/>
      <c r="K82" s="64"/>
      <c r="L82" s="64"/>
      <c r="M82" s="64"/>
      <c r="N82" s="64"/>
      <c r="O82" s="64"/>
      <c r="P82" s="64"/>
      <c r="Q82" s="64"/>
      <c r="R82" s="64"/>
      <c r="S82" s="64"/>
      <c r="T82" s="64"/>
      <c r="U82" s="64"/>
      <c r="V82" s="64"/>
      <c r="W82" s="64"/>
      <c r="X82" s="64"/>
      <c r="Y82" s="64"/>
      <c r="Z82" s="64"/>
    </row>
    <row r="83" ht="14.25" customHeight="1">
      <c r="A83" s="64"/>
      <c r="B83" s="64"/>
      <c r="C83" s="64"/>
      <c r="D83" s="64"/>
      <c r="E83" s="64"/>
      <c r="F83" s="64"/>
      <c r="G83" s="64"/>
      <c r="H83" s="64"/>
      <c r="I83" s="64"/>
      <c r="J83" s="64"/>
      <c r="K83" s="64"/>
      <c r="L83" s="64"/>
      <c r="M83" s="64"/>
      <c r="N83" s="64"/>
      <c r="O83" s="64"/>
      <c r="P83" s="64"/>
      <c r="Q83" s="64"/>
      <c r="R83" s="64"/>
      <c r="S83" s="64"/>
      <c r="T83" s="64"/>
      <c r="U83" s="64"/>
      <c r="V83" s="64"/>
      <c r="W83" s="64"/>
      <c r="X83" s="64"/>
      <c r="Y83" s="64"/>
      <c r="Z83" s="64"/>
    </row>
    <row r="84" ht="14.25" customHeight="1">
      <c r="A84" s="64"/>
      <c r="B84" s="64"/>
      <c r="C84" s="64"/>
      <c r="D84" s="64"/>
      <c r="E84" s="64"/>
      <c r="F84" s="64"/>
      <c r="G84" s="64"/>
      <c r="H84" s="64"/>
      <c r="I84" s="64"/>
      <c r="J84" s="64"/>
      <c r="K84" s="64"/>
      <c r="L84" s="64"/>
      <c r="M84" s="64"/>
      <c r="N84" s="64"/>
      <c r="O84" s="64"/>
      <c r="P84" s="64"/>
      <c r="Q84" s="64"/>
      <c r="R84" s="64"/>
      <c r="S84" s="64"/>
      <c r="T84" s="64"/>
      <c r="U84" s="64"/>
      <c r="V84" s="64"/>
      <c r="W84" s="64"/>
      <c r="X84" s="64"/>
      <c r="Y84" s="64"/>
      <c r="Z84" s="64"/>
    </row>
    <row r="85" ht="14.25" customHeight="1">
      <c r="A85" s="64"/>
      <c r="B85" s="64"/>
      <c r="C85" s="64"/>
      <c r="D85" s="64"/>
      <c r="E85" s="64"/>
      <c r="F85" s="64"/>
      <c r="G85" s="64"/>
      <c r="H85" s="64"/>
      <c r="I85" s="64"/>
      <c r="J85" s="64"/>
      <c r="K85" s="64"/>
      <c r="L85" s="64"/>
      <c r="M85" s="64"/>
      <c r="N85" s="64"/>
      <c r="O85" s="64"/>
      <c r="P85" s="64"/>
      <c r="Q85" s="64"/>
      <c r="R85" s="64"/>
      <c r="S85" s="64"/>
      <c r="T85" s="64"/>
      <c r="U85" s="64"/>
      <c r="V85" s="64"/>
      <c r="W85" s="64"/>
      <c r="X85" s="64"/>
      <c r="Y85" s="64"/>
      <c r="Z85" s="64"/>
    </row>
    <row r="86" ht="14.25" customHeight="1">
      <c r="A86" s="64"/>
      <c r="B86" s="64"/>
      <c r="C86" s="64"/>
      <c r="D86" s="64"/>
      <c r="E86" s="64"/>
      <c r="F86" s="64"/>
      <c r="G86" s="64"/>
      <c r="H86" s="64"/>
      <c r="I86" s="64"/>
      <c r="J86" s="64"/>
      <c r="K86" s="64"/>
      <c r="L86" s="64"/>
      <c r="M86" s="64"/>
      <c r="N86" s="64"/>
      <c r="O86" s="64"/>
      <c r="P86" s="64"/>
      <c r="Q86" s="64"/>
      <c r="R86" s="64"/>
      <c r="S86" s="64"/>
      <c r="T86" s="64"/>
      <c r="U86" s="64"/>
      <c r="V86" s="64"/>
      <c r="W86" s="64"/>
      <c r="X86" s="64"/>
      <c r="Y86" s="64"/>
      <c r="Z86" s="64"/>
    </row>
    <row r="87" ht="14.25" customHeight="1">
      <c r="A87" s="64"/>
      <c r="B87" s="64"/>
      <c r="C87" s="64"/>
      <c r="D87" s="64"/>
      <c r="E87" s="64"/>
      <c r="F87" s="64"/>
      <c r="G87" s="64"/>
      <c r="H87" s="64"/>
      <c r="I87" s="64"/>
      <c r="J87" s="64"/>
      <c r="K87" s="64"/>
      <c r="L87" s="64"/>
      <c r="M87" s="64"/>
      <c r="N87" s="64"/>
      <c r="O87" s="64"/>
      <c r="P87" s="64"/>
      <c r="Q87" s="64"/>
      <c r="R87" s="64"/>
      <c r="S87" s="64"/>
      <c r="T87" s="64"/>
      <c r="U87" s="64"/>
      <c r="V87" s="64"/>
      <c r="W87" s="64"/>
      <c r="X87" s="64"/>
      <c r="Y87" s="64"/>
      <c r="Z87" s="64"/>
    </row>
    <row r="88" ht="14.25" customHeight="1">
      <c r="A88" s="64"/>
      <c r="B88" s="64"/>
      <c r="C88" s="64"/>
      <c r="D88" s="64"/>
      <c r="E88" s="64"/>
      <c r="F88" s="64"/>
      <c r="G88" s="64"/>
      <c r="H88" s="64"/>
      <c r="I88" s="64"/>
      <c r="J88" s="64"/>
      <c r="K88" s="64"/>
      <c r="L88" s="64"/>
      <c r="M88" s="64"/>
      <c r="N88" s="64"/>
      <c r="O88" s="64"/>
      <c r="P88" s="64"/>
      <c r="Q88" s="64"/>
      <c r="R88" s="64"/>
      <c r="S88" s="64"/>
      <c r="T88" s="64"/>
      <c r="U88" s="64"/>
      <c r="V88" s="64"/>
      <c r="W88" s="64"/>
      <c r="X88" s="64"/>
      <c r="Y88" s="64"/>
      <c r="Z88" s="64"/>
    </row>
    <row r="89" ht="14.25" customHeight="1">
      <c r="A89" s="64"/>
      <c r="B89" s="64"/>
      <c r="C89" s="64"/>
      <c r="D89" s="64"/>
      <c r="E89" s="64"/>
      <c r="F89" s="64"/>
      <c r="G89" s="64"/>
      <c r="H89" s="64"/>
      <c r="I89" s="64"/>
      <c r="J89" s="64"/>
      <c r="K89" s="64"/>
      <c r="L89" s="64"/>
      <c r="M89" s="64"/>
      <c r="N89" s="64"/>
      <c r="O89" s="64"/>
      <c r="P89" s="64"/>
      <c r="Q89" s="64"/>
      <c r="R89" s="64"/>
      <c r="S89" s="64"/>
      <c r="T89" s="64"/>
      <c r="U89" s="64"/>
      <c r="V89" s="64"/>
      <c r="W89" s="64"/>
      <c r="X89" s="64"/>
      <c r="Y89" s="64"/>
      <c r="Z89" s="64"/>
    </row>
    <row r="90" ht="14.25" customHeight="1">
      <c r="A90" s="64"/>
      <c r="B90" s="64"/>
      <c r="C90" s="64"/>
      <c r="D90" s="64"/>
      <c r="E90" s="64"/>
      <c r="F90" s="64"/>
      <c r="G90" s="64"/>
      <c r="H90" s="64"/>
      <c r="I90" s="64"/>
      <c r="J90" s="64"/>
      <c r="K90" s="64"/>
      <c r="L90" s="64"/>
      <c r="M90" s="64"/>
      <c r="N90" s="64"/>
      <c r="O90" s="64"/>
      <c r="P90" s="64"/>
      <c r="Q90" s="64"/>
      <c r="R90" s="64"/>
      <c r="S90" s="64"/>
      <c r="T90" s="64"/>
      <c r="U90" s="64"/>
      <c r="V90" s="64"/>
      <c r="W90" s="64"/>
      <c r="X90" s="64"/>
      <c r="Y90" s="64"/>
      <c r="Z90" s="64"/>
    </row>
    <row r="91" ht="14.25" customHeight="1">
      <c r="A91" s="64"/>
      <c r="B91" s="64"/>
      <c r="C91" s="64"/>
      <c r="D91" s="64"/>
      <c r="E91" s="64"/>
      <c r="F91" s="64"/>
      <c r="G91" s="64"/>
      <c r="H91" s="64"/>
      <c r="I91" s="64"/>
      <c r="J91" s="64"/>
      <c r="K91" s="64"/>
      <c r="L91" s="64"/>
      <c r="M91" s="64"/>
      <c r="N91" s="64"/>
      <c r="O91" s="64"/>
      <c r="P91" s="64"/>
      <c r="Q91" s="64"/>
      <c r="R91" s="64"/>
      <c r="S91" s="64"/>
      <c r="T91" s="64"/>
      <c r="U91" s="64"/>
      <c r="V91" s="64"/>
      <c r="W91" s="64"/>
      <c r="X91" s="64"/>
      <c r="Y91" s="64"/>
      <c r="Z91" s="64"/>
    </row>
    <row r="92" ht="14.25" customHeight="1">
      <c r="A92" s="64"/>
      <c r="B92" s="64"/>
      <c r="C92" s="64"/>
      <c r="D92" s="64"/>
      <c r="E92" s="64"/>
      <c r="F92" s="64"/>
      <c r="G92" s="64"/>
      <c r="H92" s="64"/>
      <c r="I92" s="64"/>
      <c r="J92" s="64"/>
      <c r="K92" s="64"/>
      <c r="L92" s="64"/>
      <c r="M92" s="64"/>
      <c r="N92" s="64"/>
      <c r="O92" s="64"/>
      <c r="P92" s="64"/>
      <c r="Q92" s="64"/>
      <c r="R92" s="64"/>
      <c r="S92" s="64"/>
      <c r="T92" s="64"/>
      <c r="U92" s="64"/>
      <c r="V92" s="64"/>
      <c r="W92" s="64"/>
      <c r="X92" s="64"/>
      <c r="Y92" s="64"/>
      <c r="Z92" s="64"/>
    </row>
    <row r="93" ht="14.25" customHeight="1">
      <c r="A93" s="64"/>
      <c r="B93" s="64"/>
      <c r="C93" s="64"/>
      <c r="D93" s="64"/>
      <c r="E93" s="64"/>
      <c r="F93" s="64"/>
      <c r="G93" s="64"/>
      <c r="H93" s="64"/>
      <c r="I93" s="64"/>
      <c r="J93" s="64"/>
      <c r="K93" s="64"/>
      <c r="L93" s="64"/>
      <c r="M93" s="64"/>
      <c r="N93" s="64"/>
      <c r="O93" s="64"/>
      <c r="P93" s="64"/>
      <c r="Q93" s="64"/>
      <c r="R93" s="64"/>
      <c r="S93" s="64"/>
      <c r="T93" s="64"/>
      <c r="U93" s="64"/>
      <c r="V93" s="64"/>
      <c r="W93" s="64"/>
      <c r="X93" s="64"/>
      <c r="Y93" s="64"/>
      <c r="Z93" s="64"/>
    </row>
    <row r="94" ht="14.25" customHeight="1">
      <c r="A94" s="64"/>
      <c r="B94" s="64"/>
      <c r="C94" s="64"/>
      <c r="D94" s="64"/>
      <c r="E94" s="64"/>
      <c r="F94" s="64"/>
      <c r="G94" s="64"/>
      <c r="H94" s="64"/>
      <c r="I94" s="64"/>
      <c r="J94" s="64"/>
      <c r="K94" s="64"/>
      <c r="L94" s="64"/>
      <c r="M94" s="64"/>
      <c r="N94" s="64"/>
      <c r="O94" s="64"/>
      <c r="P94" s="64"/>
      <c r="Q94" s="64"/>
      <c r="R94" s="64"/>
      <c r="S94" s="64"/>
      <c r="T94" s="64"/>
      <c r="U94" s="64"/>
      <c r="V94" s="64"/>
      <c r="W94" s="64"/>
      <c r="X94" s="64"/>
      <c r="Y94" s="64"/>
      <c r="Z94" s="64"/>
    </row>
    <row r="95" ht="14.25" customHeight="1">
      <c r="A95" s="64"/>
      <c r="B95" s="64"/>
      <c r="C95" s="64"/>
      <c r="D95" s="64"/>
      <c r="E95" s="64"/>
      <c r="F95" s="64"/>
      <c r="G95" s="64"/>
      <c r="H95" s="64"/>
      <c r="I95" s="64"/>
      <c r="J95" s="64"/>
      <c r="K95" s="64"/>
      <c r="L95" s="64"/>
      <c r="M95" s="64"/>
      <c r="N95" s="64"/>
      <c r="O95" s="64"/>
      <c r="P95" s="64"/>
      <c r="Q95" s="64"/>
      <c r="R95" s="64"/>
      <c r="S95" s="64"/>
      <c r="T95" s="64"/>
      <c r="U95" s="64"/>
      <c r="V95" s="64"/>
      <c r="W95" s="64"/>
      <c r="X95" s="64"/>
      <c r="Y95" s="64"/>
      <c r="Z95" s="64"/>
    </row>
    <row r="96" ht="14.25" customHeight="1">
      <c r="A96" s="64"/>
      <c r="B96" s="64"/>
      <c r="C96" s="64"/>
      <c r="D96" s="64"/>
      <c r="E96" s="64"/>
      <c r="F96" s="64"/>
      <c r="G96" s="64"/>
      <c r="H96" s="64"/>
      <c r="I96" s="64"/>
      <c r="J96" s="64"/>
      <c r="K96" s="64"/>
      <c r="L96" s="64"/>
      <c r="M96" s="64"/>
      <c r="N96" s="64"/>
      <c r="O96" s="64"/>
      <c r="P96" s="64"/>
      <c r="Q96" s="64"/>
      <c r="R96" s="64"/>
      <c r="S96" s="64"/>
      <c r="T96" s="64"/>
      <c r="U96" s="64"/>
      <c r="V96" s="64"/>
      <c r="W96" s="64"/>
      <c r="X96" s="64"/>
      <c r="Y96" s="64"/>
      <c r="Z96" s="64"/>
    </row>
    <row r="97" ht="14.25" customHeight="1">
      <c r="A97" s="64"/>
      <c r="B97" s="64"/>
      <c r="C97" s="64"/>
      <c r="D97" s="64"/>
      <c r="E97" s="64"/>
      <c r="F97" s="64"/>
      <c r="G97" s="64"/>
      <c r="H97" s="64"/>
      <c r="I97" s="64"/>
      <c r="J97" s="64"/>
      <c r="K97" s="64"/>
      <c r="L97" s="64"/>
      <c r="M97" s="64"/>
      <c r="N97" s="64"/>
      <c r="O97" s="64"/>
      <c r="P97" s="64"/>
      <c r="Q97" s="64"/>
      <c r="R97" s="64"/>
      <c r="S97" s="64"/>
      <c r="T97" s="64"/>
      <c r="U97" s="64"/>
      <c r="V97" s="64"/>
      <c r="W97" s="64"/>
      <c r="X97" s="64"/>
      <c r="Y97" s="64"/>
      <c r="Z97" s="64"/>
    </row>
    <row r="98" ht="14.25" customHeight="1">
      <c r="A98" s="64"/>
      <c r="B98" s="64"/>
      <c r="C98" s="64"/>
      <c r="D98" s="64"/>
      <c r="E98" s="64"/>
      <c r="F98" s="64"/>
      <c r="G98" s="64"/>
      <c r="H98" s="64"/>
      <c r="I98" s="64"/>
      <c r="J98" s="64"/>
      <c r="K98" s="64"/>
      <c r="L98" s="64"/>
      <c r="M98" s="64"/>
      <c r="N98" s="64"/>
      <c r="O98" s="64"/>
      <c r="P98" s="64"/>
      <c r="Q98" s="64"/>
      <c r="R98" s="64"/>
      <c r="S98" s="64"/>
      <c r="T98" s="64"/>
      <c r="U98" s="64"/>
      <c r="V98" s="64"/>
      <c r="W98" s="64"/>
      <c r="X98" s="64"/>
      <c r="Y98" s="64"/>
      <c r="Z98" s="64"/>
    </row>
    <row r="99" ht="14.25" customHeight="1">
      <c r="A99" s="64"/>
      <c r="B99" s="64"/>
      <c r="C99" s="64"/>
      <c r="D99" s="64"/>
      <c r="E99" s="64"/>
      <c r="F99" s="64"/>
      <c r="G99" s="64"/>
      <c r="H99" s="64"/>
      <c r="I99" s="64"/>
      <c r="J99" s="64"/>
      <c r="K99" s="64"/>
      <c r="L99" s="64"/>
      <c r="M99" s="64"/>
      <c r="N99" s="64"/>
      <c r="O99" s="64"/>
      <c r="P99" s="64"/>
      <c r="Q99" s="64"/>
      <c r="R99" s="64"/>
      <c r="S99" s="64"/>
      <c r="T99" s="64"/>
      <c r="U99" s="64"/>
      <c r="V99" s="64"/>
      <c r="W99" s="64"/>
      <c r="X99" s="64"/>
      <c r="Y99" s="64"/>
      <c r="Z99" s="64"/>
    </row>
    <row r="100" ht="14.25" customHeight="1">
      <c r="A100" s="64"/>
      <c r="B100" s="64"/>
      <c r="C100" s="64"/>
      <c r="D100" s="64"/>
      <c r="E100" s="64"/>
      <c r="F100" s="64"/>
      <c r="G100" s="64"/>
      <c r="H100" s="64"/>
      <c r="I100" s="64"/>
      <c r="J100" s="64"/>
      <c r="K100" s="64"/>
      <c r="L100" s="64"/>
      <c r="M100" s="64"/>
      <c r="N100" s="64"/>
      <c r="O100" s="64"/>
      <c r="P100" s="64"/>
      <c r="Q100" s="64"/>
      <c r="R100" s="64"/>
      <c r="S100" s="64"/>
      <c r="T100" s="64"/>
      <c r="U100" s="64"/>
      <c r="V100" s="64"/>
      <c r="W100" s="64"/>
      <c r="X100" s="64"/>
      <c r="Y100" s="64"/>
      <c r="Z100" s="64"/>
    </row>
    <row r="101" ht="14.25" customHeight="1">
      <c r="A101" s="64"/>
      <c r="B101" s="64"/>
      <c r="C101" s="64"/>
      <c r="D101" s="64"/>
      <c r="E101" s="64"/>
      <c r="F101" s="64"/>
      <c r="G101" s="64"/>
      <c r="H101" s="64"/>
      <c r="I101" s="64"/>
      <c r="J101" s="64"/>
      <c r="K101" s="64"/>
      <c r="L101" s="64"/>
      <c r="M101" s="64"/>
      <c r="N101" s="64"/>
      <c r="O101" s="64"/>
      <c r="P101" s="64"/>
      <c r="Q101" s="64"/>
      <c r="R101" s="64"/>
      <c r="S101" s="64"/>
      <c r="T101" s="64"/>
      <c r="U101" s="64"/>
      <c r="V101" s="64"/>
      <c r="W101" s="64"/>
      <c r="X101" s="64"/>
      <c r="Y101" s="64"/>
      <c r="Z101" s="64"/>
    </row>
    <row r="102" ht="14.25" customHeight="1">
      <c r="A102" s="64"/>
      <c r="B102" s="64"/>
      <c r="C102" s="64"/>
      <c r="D102" s="64"/>
      <c r="E102" s="64"/>
      <c r="F102" s="64"/>
      <c r="G102" s="64"/>
      <c r="H102" s="64"/>
      <c r="I102" s="64"/>
      <c r="J102" s="64"/>
      <c r="K102" s="64"/>
      <c r="L102" s="64"/>
      <c r="M102" s="64"/>
      <c r="N102" s="64"/>
      <c r="O102" s="64"/>
      <c r="P102" s="64"/>
      <c r="Q102" s="64"/>
      <c r="R102" s="64"/>
      <c r="S102" s="64"/>
      <c r="T102" s="64"/>
      <c r="U102" s="64"/>
      <c r="V102" s="64"/>
      <c r="W102" s="64"/>
      <c r="X102" s="64"/>
      <c r="Y102" s="64"/>
      <c r="Z102" s="64"/>
    </row>
    <row r="103" ht="14.25" customHeight="1">
      <c r="A103" s="64"/>
      <c r="B103" s="64"/>
      <c r="C103" s="64"/>
      <c r="D103" s="64"/>
      <c r="E103" s="64"/>
      <c r="F103" s="64"/>
      <c r="G103" s="64"/>
      <c r="H103" s="64"/>
      <c r="I103" s="64"/>
      <c r="J103" s="64"/>
      <c r="K103" s="64"/>
      <c r="L103" s="64"/>
      <c r="M103" s="64"/>
      <c r="N103" s="64"/>
      <c r="O103" s="64"/>
      <c r="P103" s="64"/>
      <c r="Q103" s="64"/>
      <c r="R103" s="64"/>
      <c r="S103" s="64"/>
      <c r="T103" s="64"/>
      <c r="U103" s="64"/>
      <c r="V103" s="64"/>
      <c r="W103" s="64"/>
      <c r="X103" s="64"/>
      <c r="Y103" s="64"/>
      <c r="Z103" s="64"/>
    </row>
    <row r="104" ht="14.25" customHeight="1">
      <c r="A104" s="64"/>
      <c r="B104" s="64"/>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row>
    <row r="105" ht="14.25" customHeight="1">
      <c r="A105" s="64"/>
      <c r="B105" s="64"/>
      <c r="C105" s="64"/>
      <c r="D105" s="64"/>
      <c r="E105" s="64"/>
      <c r="F105" s="64"/>
      <c r="G105" s="64"/>
      <c r="H105" s="64"/>
      <c r="I105" s="64"/>
      <c r="J105" s="64"/>
      <c r="K105" s="64"/>
      <c r="L105" s="64"/>
      <c r="M105" s="64"/>
      <c r="N105" s="64"/>
      <c r="O105" s="64"/>
      <c r="P105" s="64"/>
      <c r="Q105" s="64"/>
      <c r="R105" s="64"/>
      <c r="S105" s="64"/>
      <c r="T105" s="64"/>
      <c r="U105" s="64"/>
      <c r="V105" s="64"/>
      <c r="W105" s="64"/>
      <c r="X105" s="64"/>
      <c r="Y105" s="64"/>
      <c r="Z105" s="64"/>
    </row>
    <row r="106" ht="14.25" customHeight="1">
      <c r="A106" s="64"/>
      <c r="B106" s="64"/>
      <c r="C106" s="64"/>
      <c r="D106" s="64"/>
      <c r="E106" s="64"/>
      <c r="F106" s="64"/>
      <c r="G106" s="64"/>
      <c r="H106" s="64"/>
      <c r="I106" s="64"/>
      <c r="J106" s="64"/>
      <c r="K106" s="64"/>
      <c r="L106" s="64"/>
      <c r="M106" s="64"/>
      <c r="N106" s="64"/>
      <c r="O106" s="64"/>
      <c r="P106" s="64"/>
      <c r="Q106" s="64"/>
      <c r="R106" s="64"/>
      <c r="S106" s="64"/>
      <c r="T106" s="64"/>
      <c r="U106" s="64"/>
      <c r="V106" s="64"/>
      <c r="W106" s="64"/>
      <c r="X106" s="64"/>
      <c r="Y106" s="64"/>
      <c r="Z106" s="64"/>
    </row>
    <row r="107" ht="14.25" customHeight="1">
      <c r="A107" s="64"/>
      <c r="B107" s="64"/>
      <c r="C107" s="64"/>
      <c r="D107" s="64"/>
      <c r="E107" s="64"/>
      <c r="F107" s="64"/>
      <c r="G107" s="64"/>
      <c r="H107" s="64"/>
      <c r="I107" s="64"/>
      <c r="J107" s="64"/>
      <c r="K107" s="64"/>
      <c r="L107" s="64"/>
      <c r="M107" s="64"/>
      <c r="N107" s="64"/>
      <c r="O107" s="64"/>
      <c r="P107" s="64"/>
      <c r="Q107" s="64"/>
      <c r="R107" s="64"/>
      <c r="S107" s="64"/>
      <c r="T107" s="64"/>
      <c r="U107" s="64"/>
      <c r="V107" s="64"/>
      <c r="W107" s="64"/>
      <c r="X107" s="64"/>
      <c r="Y107" s="64"/>
      <c r="Z107" s="64"/>
    </row>
    <row r="108" ht="14.25" customHeight="1">
      <c r="A108" s="64"/>
      <c r="B108" s="64"/>
      <c r="C108" s="64"/>
      <c r="D108" s="64"/>
      <c r="E108" s="64"/>
      <c r="F108" s="64"/>
      <c r="G108" s="64"/>
      <c r="H108" s="64"/>
      <c r="I108" s="64"/>
      <c r="J108" s="64"/>
      <c r="K108" s="64"/>
      <c r="L108" s="64"/>
      <c r="M108" s="64"/>
      <c r="N108" s="64"/>
      <c r="O108" s="64"/>
      <c r="P108" s="64"/>
      <c r="Q108" s="64"/>
      <c r="R108" s="64"/>
      <c r="S108" s="64"/>
      <c r="T108" s="64"/>
      <c r="U108" s="64"/>
      <c r="V108" s="64"/>
      <c r="W108" s="64"/>
      <c r="X108" s="64"/>
      <c r="Y108" s="64"/>
      <c r="Z108" s="64"/>
    </row>
    <row r="109" ht="14.25" customHeight="1">
      <c r="A109" s="64"/>
      <c r="B109" s="64"/>
      <c r="C109" s="64"/>
      <c r="D109" s="64"/>
      <c r="E109" s="64"/>
      <c r="F109" s="64"/>
      <c r="G109" s="64"/>
      <c r="H109" s="64"/>
      <c r="I109" s="64"/>
      <c r="J109" s="64"/>
      <c r="K109" s="64"/>
      <c r="L109" s="64"/>
      <c r="M109" s="64"/>
      <c r="N109" s="64"/>
      <c r="O109" s="64"/>
      <c r="P109" s="64"/>
      <c r="Q109" s="64"/>
      <c r="R109" s="64"/>
      <c r="S109" s="64"/>
      <c r="T109" s="64"/>
      <c r="U109" s="64"/>
      <c r="V109" s="64"/>
      <c r="W109" s="64"/>
      <c r="X109" s="64"/>
      <c r="Y109" s="64"/>
      <c r="Z109" s="64"/>
    </row>
    <row r="110" ht="14.25" customHeight="1">
      <c r="A110" s="64"/>
      <c r="B110" s="64"/>
      <c r="C110" s="64"/>
      <c r="D110" s="64"/>
      <c r="E110" s="64"/>
      <c r="F110" s="64"/>
      <c r="G110" s="64"/>
      <c r="H110" s="64"/>
      <c r="I110" s="64"/>
      <c r="J110" s="64"/>
      <c r="K110" s="64"/>
      <c r="L110" s="64"/>
      <c r="M110" s="64"/>
      <c r="N110" s="64"/>
      <c r="O110" s="64"/>
      <c r="P110" s="64"/>
      <c r="Q110" s="64"/>
      <c r="R110" s="64"/>
      <c r="S110" s="64"/>
      <c r="T110" s="64"/>
      <c r="U110" s="64"/>
      <c r="V110" s="64"/>
      <c r="W110" s="64"/>
      <c r="X110" s="64"/>
      <c r="Y110" s="64"/>
      <c r="Z110" s="64"/>
    </row>
    <row r="111" ht="14.25" customHeight="1">
      <c r="A111" s="64"/>
      <c r="B111" s="64"/>
      <c r="C111" s="64"/>
      <c r="D111" s="64"/>
      <c r="E111" s="64"/>
      <c r="F111" s="64"/>
      <c r="G111" s="64"/>
      <c r="H111" s="64"/>
      <c r="I111" s="64"/>
      <c r="J111" s="64"/>
      <c r="K111" s="64"/>
      <c r="L111" s="64"/>
      <c r="M111" s="64"/>
      <c r="N111" s="64"/>
      <c r="O111" s="64"/>
      <c r="P111" s="64"/>
      <c r="Q111" s="64"/>
      <c r="R111" s="64"/>
      <c r="S111" s="64"/>
      <c r="T111" s="64"/>
      <c r="U111" s="64"/>
      <c r="V111" s="64"/>
      <c r="W111" s="64"/>
      <c r="X111" s="64"/>
      <c r="Y111" s="64"/>
      <c r="Z111" s="64"/>
    </row>
    <row r="112" ht="14.25" customHeight="1">
      <c r="A112" s="64"/>
      <c r="B112" s="64"/>
      <c r="C112" s="64"/>
      <c r="D112" s="64"/>
      <c r="E112" s="64"/>
      <c r="F112" s="64"/>
      <c r="G112" s="64"/>
      <c r="H112" s="64"/>
      <c r="I112" s="64"/>
      <c r="J112" s="64"/>
      <c r="K112" s="64"/>
      <c r="L112" s="64"/>
      <c r="M112" s="64"/>
      <c r="N112" s="64"/>
      <c r="O112" s="64"/>
      <c r="P112" s="64"/>
      <c r="Q112" s="64"/>
      <c r="R112" s="64"/>
      <c r="S112" s="64"/>
      <c r="T112" s="64"/>
      <c r="U112" s="64"/>
      <c r="V112" s="64"/>
      <c r="W112" s="64"/>
      <c r="X112" s="64"/>
      <c r="Y112" s="64"/>
      <c r="Z112" s="64"/>
    </row>
    <row r="113" ht="14.25" customHeight="1">
      <c r="A113" s="64"/>
      <c r="B113" s="64"/>
      <c r="C113" s="64"/>
      <c r="D113" s="64"/>
      <c r="E113" s="64"/>
      <c r="F113" s="64"/>
      <c r="G113" s="64"/>
      <c r="H113" s="64"/>
      <c r="I113" s="64"/>
      <c r="J113" s="64"/>
      <c r="K113" s="64"/>
      <c r="L113" s="64"/>
      <c r="M113" s="64"/>
      <c r="N113" s="64"/>
      <c r="O113" s="64"/>
      <c r="P113" s="64"/>
      <c r="Q113" s="64"/>
      <c r="R113" s="64"/>
      <c r="S113" s="64"/>
      <c r="T113" s="64"/>
      <c r="U113" s="64"/>
      <c r="V113" s="64"/>
      <c r="W113" s="64"/>
      <c r="X113" s="64"/>
      <c r="Y113" s="64"/>
      <c r="Z113" s="64"/>
    </row>
    <row r="114" ht="14.25" customHeight="1">
      <c r="A114" s="64"/>
      <c r="B114" s="64"/>
      <c r="C114" s="64"/>
      <c r="D114" s="64"/>
      <c r="E114" s="64"/>
      <c r="F114" s="64"/>
      <c r="G114" s="64"/>
      <c r="H114" s="64"/>
      <c r="I114" s="64"/>
      <c r="J114" s="64"/>
      <c r="K114" s="64"/>
      <c r="L114" s="64"/>
      <c r="M114" s="64"/>
      <c r="N114" s="64"/>
      <c r="O114" s="64"/>
      <c r="P114" s="64"/>
      <c r="Q114" s="64"/>
      <c r="R114" s="64"/>
      <c r="S114" s="64"/>
      <c r="T114" s="64"/>
      <c r="U114" s="64"/>
      <c r="V114" s="64"/>
      <c r="W114" s="64"/>
      <c r="X114" s="64"/>
      <c r="Y114" s="64"/>
      <c r="Z114" s="64"/>
    </row>
    <row r="115" ht="14.25" customHeight="1">
      <c r="A115" s="64"/>
      <c r="B115" s="64"/>
      <c r="C115" s="64"/>
      <c r="D115" s="64"/>
      <c r="E115" s="64"/>
      <c r="F115" s="64"/>
      <c r="G115" s="64"/>
      <c r="H115" s="64"/>
      <c r="I115" s="64"/>
      <c r="J115" s="64"/>
      <c r="K115" s="64"/>
      <c r="L115" s="64"/>
      <c r="M115" s="64"/>
      <c r="N115" s="64"/>
      <c r="O115" s="64"/>
      <c r="P115" s="64"/>
      <c r="Q115" s="64"/>
      <c r="R115" s="64"/>
      <c r="S115" s="64"/>
      <c r="T115" s="64"/>
      <c r="U115" s="64"/>
      <c r="V115" s="64"/>
      <c r="W115" s="64"/>
      <c r="X115" s="64"/>
      <c r="Y115" s="64"/>
      <c r="Z115" s="64"/>
    </row>
    <row r="116" ht="14.25" customHeight="1">
      <c r="A116" s="64"/>
      <c r="B116" s="64"/>
      <c r="C116" s="64"/>
      <c r="D116" s="64"/>
      <c r="E116" s="64"/>
      <c r="F116" s="64"/>
      <c r="G116" s="64"/>
      <c r="H116" s="64"/>
      <c r="I116" s="64"/>
      <c r="J116" s="64"/>
      <c r="K116" s="64"/>
      <c r="L116" s="64"/>
      <c r="M116" s="64"/>
      <c r="N116" s="64"/>
      <c r="O116" s="64"/>
      <c r="P116" s="64"/>
      <c r="Q116" s="64"/>
      <c r="R116" s="64"/>
      <c r="S116" s="64"/>
      <c r="T116" s="64"/>
      <c r="U116" s="64"/>
      <c r="V116" s="64"/>
      <c r="W116" s="64"/>
      <c r="X116" s="64"/>
      <c r="Y116" s="64"/>
      <c r="Z116" s="64"/>
    </row>
    <row r="117" ht="14.25" customHeight="1">
      <c r="A117" s="64"/>
      <c r="B117" s="64"/>
      <c r="C117" s="64"/>
      <c r="D117" s="64"/>
      <c r="E117" s="64"/>
      <c r="F117" s="64"/>
      <c r="G117" s="64"/>
      <c r="H117" s="64"/>
      <c r="I117" s="64"/>
      <c r="J117" s="64"/>
      <c r="K117" s="64"/>
      <c r="L117" s="64"/>
      <c r="M117" s="64"/>
      <c r="N117" s="64"/>
      <c r="O117" s="64"/>
      <c r="P117" s="64"/>
      <c r="Q117" s="64"/>
      <c r="R117" s="64"/>
      <c r="S117" s="64"/>
      <c r="T117" s="64"/>
      <c r="U117" s="64"/>
      <c r="V117" s="64"/>
      <c r="W117" s="64"/>
      <c r="X117" s="64"/>
      <c r="Y117" s="64"/>
      <c r="Z117" s="64"/>
    </row>
    <row r="118" ht="14.25" customHeight="1">
      <c r="A118" s="64"/>
      <c r="B118" s="64"/>
      <c r="C118" s="64"/>
      <c r="D118" s="64"/>
      <c r="E118" s="64"/>
      <c r="F118" s="64"/>
      <c r="G118" s="64"/>
      <c r="H118" s="64"/>
      <c r="I118" s="64"/>
      <c r="J118" s="64"/>
      <c r="K118" s="64"/>
      <c r="L118" s="64"/>
      <c r="M118" s="64"/>
      <c r="N118" s="64"/>
      <c r="O118" s="64"/>
      <c r="P118" s="64"/>
      <c r="Q118" s="64"/>
      <c r="R118" s="64"/>
      <c r="S118" s="64"/>
      <c r="T118" s="64"/>
      <c r="U118" s="64"/>
      <c r="V118" s="64"/>
      <c r="W118" s="64"/>
      <c r="X118" s="64"/>
      <c r="Y118" s="64"/>
      <c r="Z118" s="64"/>
    </row>
    <row r="119" ht="14.25" customHeight="1">
      <c r="A119" s="64"/>
      <c r="B119" s="64"/>
      <c r="C119" s="64"/>
      <c r="D119" s="64"/>
      <c r="E119" s="64"/>
      <c r="F119" s="64"/>
      <c r="G119" s="64"/>
      <c r="H119" s="64"/>
      <c r="I119" s="64"/>
      <c r="J119" s="64"/>
      <c r="K119" s="64"/>
      <c r="L119" s="64"/>
      <c r="M119" s="64"/>
      <c r="N119" s="64"/>
      <c r="O119" s="64"/>
      <c r="P119" s="64"/>
      <c r="Q119" s="64"/>
      <c r="R119" s="64"/>
      <c r="S119" s="64"/>
      <c r="T119" s="64"/>
      <c r="U119" s="64"/>
      <c r="V119" s="64"/>
      <c r="W119" s="64"/>
      <c r="X119" s="64"/>
      <c r="Y119" s="64"/>
      <c r="Z119" s="64"/>
    </row>
    <row r="120" ht="14.25" customHeight="1">
      <c r="A120" s="64"/>
      <c r="B120" s="64"/>
      <c r="C120" s="64"/>
      <c r="D120" s="64"/>
      <c r="E120" s="64"/>
      <c r="F120" s="64"/>
      <c r="G120" s="64"/>
      <c r="H120" s="64"/>
      <c r="I120" s="64"/>
      <c r="J120" s="64"/>
      <c r="K120" s="64"/>
      <c r="L120" s="64"/>
      <c r="M120" s="64"/>
      <c r="N120" s="64"/>
      <c r="O120" s="64"/>
      <c r="P120" s="64"/>
      <c r="Q120" s="64"/>
      <c r="R120" s="64"/>
      <c r="S120" s="64"/>
      <c r="T120" s="64"/>
      <c r="U120" s="64"/>
      <c r="V120" s="64"/>
      <c r="W120" s="64"/>
      <c r="X120" s="64"/>
      <c r="Y120" s="64"/>
      <c r="Z120" s="64"/>
    </row>
    <row r="121" ht="14.25" customHeight="1">
      <c r="A121" s="64"/>
      <c r="B121" s="64"/>
      <c r="C121" s="64"/>
      <c r="D121" s="64"/>
      <c r="E121" s="64"/>
      <c r="F121" s="64"/>
      <c r="G121" s="64"/>
      <c r="H121" s="64"/>
      <c r="I121" s="64"/>
      <c r="J121" s="64"/>
      <c r="K121" s="64"/>
      <c r="L121" s="64"/>
      <c r="M121" s="64"/>
      <c r="N121" s="64"/>
      <c r="O121" s="64"/>
      <c r="P121" s="64"/>
      <c r="Q121" s="64"/>
      <c r="R121" s="64"/>
      <c r="S121" s="64"/>
      <c r="T121" s="64"/>
      <c r="U121" s="64"/>
      <c r="V121" s="64"/>
      <c r="W121" s="64"/>
      <c r="X121" s="64"/>
      <c r="Y121" s="64"/>
      <c r="Z121" s="64"/>
    </row>
    <row r="122" ht="14.25" customHeight="1">
      <c r="A122" s="64"/>
      <c r="B122" s="64"/>
      <c r="C122" s="64"/>
      <c r="D122" s="64"/>
      <c r="E122" s="64"/>
      <c r="F122" s="64"/>
      <c r="G122" s="64"/>
      <c r="H122" s="64"/>
      <c r="I122" s="64"/>
      <c r="J122" s="64"/>
      <c r="K122" s="64"/>
      <c r="L122" s="64"/>
      <c r="M122" s="64"/>
      <c r="N122" s="64"/>
      <c r="O122" s="64"/>
      <c r="P122" s="64"/>
      <c r="Q122" s="64"/>
      <c r="R122" s="64"/>
      <c r="S122" s="64"/>
      <c r="T122" s="64"/>
      <c r="U122" s="64"/>
      <c r="V122" s="64"/>
      <c r="W122" s="64"/>
      <c r="X122" s="64"/>
      <c r="Y122" s="64"/>
      <c r="Z122" s="64"/>
    </row>
    <row r="123" ht="14.25" customHeight="1">
      <c r="A123" s="64"/>
      <c r="B123" s="64"/>
      <c r="C123" s="64"/>
      <c r="D123" s="64"/>
      <c r="E123" s="64"/>
      <c r="F123" s="64"/>
      <c r="G123" s="64"/>
      <c r="H123" s="64"/>
      <c r="I123" s="64"/>
      <c r="J123" s="64"/>
      <c r="K123" s="64"/>
      <c r="L123" s="64"/>
      <c r="M123" s="64"/>
      <c r="N123" s="64"/>
      <c r="O123" s="64"/>
      <c r="P123" s="64"/>
      <c r="Q123" s="64"/>
      <c r="R123" s="64"/>
      <c r="S123" s="64"/>
      <c r="T123" s="64"/>
      <c r="U123" s="64"/>
      <c r="V123" s="64"/>
      <c r="W123" s="64"/>
      <c r="X123" s="64"/>
      <c r="Y123" s="64"/>
      <c r="Z123" s="64"/>
    </row>
    <row r="124" ht="14.25" customHeight="1">
      <c r="A124" s="64"/>
      <c r="B124" s="64"/>
      <c r="C124" s="64"/>
      <c r="D124" s="64"/>
      <c r="E124" s="64"/>
      <c r="F124" s="64"/>
      <c r="G124" s="64"/>
      <c r="H124" s="64"/>
      <c r="I124" s="64"/>
      <c r="J124" s="64"/>
      <c r="K124" s="64"/>
      <c r="L124" s="64"/>
      <c r="M124" s="64"/>
      <c r="N124" s="64"/>
      <c r="O124" s="64"/>
      <c r="P124" s="64"/>
      <c r="Q124" s="64"/>
      <c r="R124" s="64"/>
      <c r="S124" s="64"/>
      <c r="T124" s="64"/>
      <c r="U124" s="64"/>
      <c r="V124" s="64"/>
      <c r="W124" s="64"/>
      <c r="X124" s="64"/>
      <c r="Y124" s="64"/>
      <c r="Z124" s="64"/>
    </row>
    <row r="125" ht="14.25" customHeight="1">
      <c r="A125" s="64"/>
      <c r="B125" s="64"/>
      <c r="C125" s="64"/>
      <c r="D125" s="64"/>
      <c r="E125" s="64"/>
      <c r="F125" s="64"/>
      <c r="G125" s="64"/>
      <c r="H125" s="64"/>
      <c r="I125" s="64"/>
      <c r="J125" s="64"/>
      <c r="K125" s="64"/>
      <c r="L125" s="64"/>
      <c r="M125" s="64"/>
      <c r="N125" s="64"/>
      <c r="O125" s="64"/>
      <c r="P125" s="64"/>
      <c r="Q125" s="64"/>
      <c r="R125" s="64"/>
      <c r="S125" s="64"/>
      <c r="T125" s="64"/>
      <c r="U125" s="64"/>
      <c r="V125" s="64"/>
      <c r="W125" s="64"/>
      <c r="X125" s="64"/>
      <c r="Y125" s="64"/>
      <c r="Z125" s="64"/>
    </row>
    <row r="126" ht="14.25" customHeight="1">
      <c r="A126" s="64"/>
      <c r="B126" s="64"/>
      <c r="C126" s="64"/>
      <c r="D126" s="64"/>
      <c r="E126" s="64"/>
      <c r="F126" s="64"/>
      <c r="G126" s="64"/>
      <c r="H126" s="64"/>
      <c r="I126" s="64"/>
      <c r="J126" s="64"/>
      <c r="K126" s="64"/>
      <c r="L126" s="64"/>
      <c r="M126" s="64"/>
      <c r="N126" s="64"/>
      <c r="O126" s="64"/>
      <c r="P126" s="64"/>
      <c r="Q126" s="64"/>
      <c r="R126" s="64"/>
      <c r="S126" s="64"/>
      <c r="T126" s="64"/>
      <c r="U126" s="64"/>
      <c r="V126" s="64"/>
      <c r="W126" s="64"/>
      <c r="X126" s="64"/>
      <c r="Y126" s="64"/>
      <c r="Z126" s="64"/>
    </row>
    <row r="127" ht="14.25" customHeight="1">
      <c r="A127" s="64"/>
      <c r="B127" s="64"/>
      <c r="C127" s="64"/>
      <c r="D127" s="64"/>
      <c r="E127" s="64"/>
      <c r="F127" s="64"/>
      <c r="G127" s="64"/>
      <c r="H127" s="64"/>
      <c r="I127" s="64"/>
      <c r="J127" s="64"/>
      <c r="K127" s="64"/>
      <c r="L127" s="64"/>
      <c r="M127" s="64"/>
      <c r="N127" s="64"/>
      <c r="O127" s="64"/>
      <c r="P127" s="64"/>
      <c r="Q127" s="64"/>
      <c r="R127" s="64"/>
      <c r="S127" s="64"/>
      <c r="T127" s="64"/>
      <c r="U127" s="64"/>
      <c r="V127" s="64"/>
      <c r="W127" s="64"/>
      <c r="X127" s="64"/>
      <c r="Y127" s="64"/>
      <c r="Z127" s="64"/>
    </row>
    <row r="128" ht="14.25" customHeight="1">
      <c r="A128" s="64"/>
      <c r="B128" s="64"/>
      <c r="C128" s="64"/>
      <c r="D128" s="64"/>
      <c r="E128" s="64"/>
      <c r="F128" s="64"/>
      <c r="G128" s="64"/>
      <c r="H128" s="64"/>
      <c r="I128" s="64"/>
      <c r="J128" s="64"/>
      <c r="K128" s="64"/>
      <c r="L128" s="64"/>
      <c r="M128" s="64"/>
      <c r="N128" s="64"/>
      <c r="O128" s="64"/>
      <c r="P128" s="64"/>
      <c r="Q128" s="64"/>
      <c r="R128" s="64"/>
      <c r="S128" s="64"/>
      <c r="T128" s="64"/>
      <c r="U128" s="64"/>
      <c r="V128" s="64"/>
      <c r="W128" s="64"/>
      <c r="X128" s="64"/>
      <c r="Y128" s="64"/>
      <c r="Z128" s="64"/>
    </row>
    <row r="129" ht="14.25" customHeight="1">
      <c r="A129" s="64"/>
      <c r="B129" s="64"/>
      <c r="C129" s="64"/>
      <c r="D129" s="64"/>
      <c r="E129" s="64"/>
      <c r="F129" s="64"/>
      <c r="G129" s="64"/>
      <c r="H129" s="64"/>
      <c r="I129" s="64"/>
      <c r="J129" s="64"/>
      <c r="K129" s="64"/>
      <c r="L129" s="64"/>
      <c r="M129" s="64"/>
      <c r="N129" s="64"/>
      <c r="O129" s="64"/>
      <c r="P129" s="64"/>
      <c r="Q129" s="64"/>
      <c r="R129" s="64"/>
      <c r="S129" s="64"/>
      <c r="T129" s="64"/>
      <c r="U129" s="64"/>
      <c r="V129" s="64"/>
      <c r="W129" s="64"/>
      <c r="X129" s="64"/>
      <c r="Y129" s="64"/>
      <c r="Z129" s="64"/>
    </row>
    <row r="130" ht="14.25" customHeight="1">
      <c r="A130" s="64"/>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row>
    <row r="131" ht="14.25" customHeight="1">
      <c r="A131" s="64"/>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row>
    <row r="132" ht="14.25" customHeight="1">
      <c r="A132" s="64"/>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row>
    <row r="133" ht="14.25" customHeight="1">
      <c r="A133" s="64"/>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row>
    <row r="134" ht="14.25" customHeight="1">
      <c r="A134" s="64"/>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row>
    <row r="135" ht="14.25" customHeight="1">
      <c r="A135" s="64"/>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row>
    <row r="136" ht="14.25" customHeight="1">
      <c r="A136" s="64"/>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row>
    <row r="137" ht="14.25" customHeight="1">
      <c r="A137" s="64"/>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row>
    <row r="138" ht="14.25" customHeight="1">
      <c r="A138" s="64"/>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row>
    <row r="139" ht="14.25" customHeight="1">
      <c r="A139" s="64"/>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row>
    <row r="140" ht="14.25" customHeight="1">
      <c r="A140" s="64"/>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row>
    <row r="141" ht="14.25" customHeight="1">
      <c r="A141" s="64"/>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row>
    <row r="142" ht="14.25" customHeight="1">
      <c r="A142" s="64"/>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row>
    <row r="143" ht="14.25" customHeight="1">
      <c r="A143" s="64"/>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row>
    <row r="144" ht="14.25" customHeight="1">
      <c r="A144" s="64"/>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row>
    <row r="145" ht="14.25" customHeight="1">
      <c r="A145" s="64"/>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row>
    <row r="146" ht="14.25" customHeight="1">
      <c r="A146" s="64"/>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row>
    <row r="147" ht="14.25" customHeight="1">
      <c r="A147" s="64"/>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row>
    <row r="148" ht="14.25" customHeight="1">
      <c r="A148" s="64"/>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row>
    <row r="149" ht="14.25" customHeight="1">
      <c r="A149" s="64"/>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row>
    <row r="150" ht="14.25" customHeight="1">
      <c r="A150" s="64"/>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row>
    <row r="151" ht="14.25" customHeight="1">
      <c r="A151" s="64"/>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row>
    <row r="152" ht="14.25" customHeight="1">
      <c r="A152" s="64"/>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row>
    <row r="153" ht="14.25" customHeight="1">
      <c r="A153" s="64"/>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row>
    <row r="154" ht="14.25" customHeight="1">
      <c r="A154" s="64"/>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row>
    <row r="155" ht="14.25" customHeight="1">
      <c r="A155" s="64"/>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row>
    <row r="156" ht="14.25" customHeight="1">
      <c r="A156" s="64"/>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row>
    <row r="157" ht="14.25" customHeight="1">
      <c r="A157" s="64"/>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row>
    <row r="158" ht="14.25" customHeight="1">
      <c r="A158" s="64"/>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row>
    <row r="159" ht="14.25" customHeight="1">
      <c r="A159" s="64"/>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row>
    <row r="160" ht="14.25" customHeight="1">
      <c r="A160" s="64"/>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row>
    <row r="161" ht="14.25" customHeight="1">
      <c r="A161" s="64"/>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row>
    <row r="162" ht="14.25" customHeight="1">
      <c r="A162" s="64"/>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row>
    <row r="163" ht="14.25" customHeight="1">
      <c r="A163" s="64"/>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row>
    <row r="164" ht="14.25" customHeight="1">
      <c r="A164" s="64"/>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row>
    <row r="165" ht="14.25" customHeight="1">
      <c r="A165" s="64"/>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row>
    <row r="166" ht="14.25" customHeight="1">
      <c r="A166" s="64"/>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row>
    <row r="167" ht="14.25" customHeight="1">
      <c r="A167" s="64"/>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row>
    <row r="168" ht="14.25" customHeight="1">
      <c r="A168" s="64"/>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row>
    <row r="169" ht="14.25" customHeight="1">
      <c r="A169" s="64"/>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row>
    <row r="170" ht="14.25" customHeight="1">
      <c r="A170" s="64"/>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row>
    <row r="171" ht="14.25" customHeight="1">
      <c r="A171" s="64"/>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row>
    <row r="172" ht="14.25" customHeight="1">
      <c r="A172" s="64"/>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row>
    <row r="173" ht="14.25" customHeight="1">
      <c r="A173" s="64"/>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row>
    <row r="174" ht="14.25" customHeight="1">
      <c r="A174" s="64"/>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row>
    <row r="175" ht="14.25" customHeight="1">
      <c r="A175" s="64"/>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row>
    <row r="176" ht="14.25" customHeight="1">
      <c r="A176" s="64"/>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row>
    <row r="177" ht="14.25" customHeight="1">
      <c r="A177" s="64"/>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row>
    <row r="178" ht="14.25" customHeight="1">
      <c r="A178" s="64"/>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row>
    <row r="179" ht="14.25" customHeight="1">
      <c r="A179" s="64"/>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row>
    <row r="180" ht="14.25" customHeight="1">
      <c r="A180" s="64"/>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row>
    <row r="181" ht="14.25" customHeight="1">
      <c r="A181" s="64"/>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row>
    <row r="182" ht="14.25" customHeight="1">
      <c r="A182" s="64"/>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row>
    <row r="183" ht="14.25" customHeight="1">
      <c r="A183" s="64"/>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row>
    <row r="184" ht="14.25" customHeight="1">
      <c r="A184" s="64"/>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row>
    <row r="185" ht="14.25" customHeight="1">
      <c r="A185" s="64"/>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row>
    <row r="186" ht="14.25" customHeight="1">
      <c r="A186" s="64"/>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row>
    <row r="187" ht="14.25" customHeight="1">
      <c r="A187" s="64"/>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row>
    <row r="188" ht="14.25" customHeight="1">
      <c r="A188" s="64"/>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row>
    <row r="189" ht="14.25" customHeight="1">
      <c r="A189" s="64"/>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row>
    <row r="190" ht="14.25" customHeight="1">
      <c r="A190" s="64"/>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row>
    <row r="191" ht="14.25" customHeight="1">
      <c r="A191" s="64"/>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row>
    <row r="192" ht="14.25" customHeight="1">
      <c r="A192" s="64"/>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row>
    <row r="193" ht="14.25" customHeight="1">
      <c r="A193" s="64"/>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row>
    <row r="194" ht="14.25" customHeight="1">
      <c r="A194" s="64"/>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row>
    <row r="195" ht="14.25" customHeight="1">
      <c r="A195" s="64"/>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row>
    <row r="196" ht="14.25" customHeight="1">
      <c r="A196" s="64"/>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row>
    <row r="197" ht="14.25" customHeight="1">
      <c r="A197" s="64"/>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row>
    <row r="198" ht="14.25" customHeight="1">
      <c r="A198" s="64"/>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row>
    <row r="199" ht="14.25" customHeight="1">
      <c r="A199" s="64"/>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row>
    <row r="200" ht="14.25" customHeight="1">
      <c r="A200" s="64"/>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row>
    <row r="201" ht="14.25" customHeight="1">
      <c r="A201" s="64"/>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row>
    <row r="202" ht="14.25" customHeight="1">
      <c r="A202" s="64"/>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row>
    <row r="203" ht="14.25" customHeight="1">
      <c r="A203" s="64"/>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row>
    <row r="204" ht="14.25" customHeight="1">
      <c r="A204" s="64"/>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row>
    <row r="205" ht="14.25" customHeight="1">
      <c r="A205" s="64"/>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row>
    <row r="206" ht="14.25" customHeight="1">
      <c r="A206" s="64"/>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row>
    <row r="207" ht="14.25" customHeight="1">
      <c r="A207" s="64"/>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row>
    <row r="208" ht="14.25" customHeight="1">
      <c r="A208" s="64"/>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row>
    <row r="209" ht="14.25" customHeight="1">
      <c r="A209" s="64"/>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row>
    <row r="210" ht="14.25" customHeight="1">
      <c r="A210" s="64"/>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row>
    <row r="211" ht="14.25" customHeight="1">
      <c r="A211" s="64"/>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row>
    <row r="212" ht="14.25" customHeight="1">
      <c r="A212" s="64"/>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row>
    <row r="213" ht="14.25" customHeight="1">
      <c r="A213" s="64"/>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row>
    <row r="214" ht="14.25" customHeight="1">
      <c r="A214" s="64"/>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row>
    <row r="215" ht="14.25" customHeight="1">
      <c r="A215" s="64"/>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row>
    <row r="216" ht="14.25" customHeight="1">
      <c r="A216" s="64"/>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row>
    <row r="217" ht="14.25" customHeight="1">
      <c r="A217" s="64"/>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row>
    <row r="218" ht="14.25" customHeight="1">
      <c r="A218" s="64"/>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row>
    <row r="219" ht="14.25" customHeight="1">
      <c r="A219" s="64"/>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row>
    <row r="220" ht="14.25" customHeight="1">
      <c r="A220" s="64"/>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row>
    <row r="221" ht="14.25" customHeight="1">
      <c r="A221" s="64"/>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row>
    <row r="222" ht="14.25" customHeight="1">
      <c r="A222" s="64"/>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row>
    <row r="223" ht="14.25" customHeight="1">
      <c r="A223" s="64"/>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row>
    <row r="224" ht="14.25" customHeight="1">
      <c r="A224" s="64"/>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row>
    <row r="225" ht="14.25" customHeight="1">
      <c r="A225" s="64"/>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row>
    <row r="226" ht="14.25" customHeight="1">
      <c r="A226" s="64"/>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row>
    <row r="227" ht="14.25" customHeight="1">
      <c r="A227" s="64"/>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row>
    <row r="228" ht="14.25" customHeight="1">
      <c r="A228" s="64"/>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row>
    <row r="229" ht="14.25" customHeight="1">
      <c r="A229" s="64"/>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row>
    <row r="230" ht="14.25" customHeight="1">
      <c r="A230" s="64"/>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row>
    <row r="231" ht="14.25" customHeight="1">
      <c r="A231" s="64"/>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row>
    <row r="232" ht="14.25" customHeight="1">
      <c r="A232" s="64"/>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row>
    <row r="233" ht="14.25" customHeight="1">
      <c r="A233" s="64"/>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row>
    <row r="234" ht="14.25" customHeight="1">
      <c r="A234" s="64"/>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row>
    <row r="235" ht="14.25" customHeight="1">
      <c r="A235" s="64"/>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row>
    <row r="236" ht="14.25" customHeight="1">
      <c r="A236" s="64"/>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row>
    <row r="237" ht="14.25" customHeight="1">
      <c r="A237" s="64"/>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row>
    <row r="238" ht="14.25" customHeight="1">
      <c r="A238" s="64"/>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row>
    <row r="239" ht="14.25" customHeight="1">
      <c r="A239" s="64"/>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row>
    <row r="240" ht="14.25" customHeight="1">
      <c r="A240" s="64"/>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row>
    <row r="241" ht="14.25" customHeight="1">
      <c r="A241" s="64"/>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row>
    <row r="242" ht="14.25" customHeight="1">
      <c r="A242" s="64"/>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row>
    <row r="243" ht="14.25" customHeight="1">
      <c r="A243" s="64"/>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row>
    <row r="244" ht="14.25" customHeight="1">
      <c r="A244" s="64"/>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row>
    <row r="245" ht="14.25" customHeight="1">
      <c r="A245" s="64"/>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row>
    <row r="246" ht="14.25" customHeight="1">
      <c r="A246" s="64"/>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row>
    <row r="247" ht="14.25" customHeight="1">
      <c r="A247" s="64"/>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row>
    <row r="248" ht="14.25" customHeight="1">
      <c r="A248" s="64"/>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row>
    <row r="249" ht="14.25" customHeight="1">
      <c r="A249" s="64"/>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row>
    <row r="250" ht="14.25" customHeight="1">
      <c r="A250" s="64"/>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row>
    <row r="251" ht="14.25" customHeight="1">
      <c r="A251" s="64"/>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row>
    <row r="252" ht="14.25" customHeight="1">
      <c r="A252" s="64"/>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row>
    <row r="253" ht="14.25" customHeight="1">
      <c r="A253" s="64"/>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row>
    <row r="254" ht="14.25" customHeight="1">
      <c r="A254" s="64"/>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row>
    <row r="255" ht="14.25" customHeight="1">
      <c r="A255" s="64"/>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row>
    <row r="256" ht="14.25" customHeight="1">
      <c r="A256" s="64"/>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row>
    <row r="257" ht="14.25" customHeight="1">
      <c r="A257" s="64"/>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row>
    <row r="258" ht="14.25" customHeight="1">
      <c r="A258" s="64"/>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row>
    <row r="259" ht="15.75" customHeight="1">
      <c r="A259" s="64"/>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row>
    <row r="260" ht="15.75" customHeight="1">
      <c r="A260" s="64"/>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row>
    <row r="261" ht="15.75" customHeight="1">
      <c r="A261" s="64"/>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row>
    <row r="262" ht="15.75" customHeight="1">
      <c r="A262" s="64"/>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row>
    <row r="263" ht="15.75" customHeight="1">
      <c r="A263" s="64"/>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row>
    <row r="264" ht="15.75" customHeight="1">
      <c r="A264" s="64"/>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row>
    <row r="265" ht="15.75" customHeight="1">
      <c r="A265" s="64"/>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row>
    <row r="266" ht="15.75" customHeight="1">
      <c r="A266" s="64"/>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row>
    <row r="267" ht="15.75" customHeight="1">
      <c r="A267" s="64"/>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row>
    <row r="268" ht="15.75" customHeight="1">
      <c r="A268" s="64"/>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row>
    <row r="269" ht="15.75" customHeight="1">
      <c r="A269" s="64"/>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row>
    <row r="270" ht="15.75" customHeight="1">
      <c r="A270" s="64"/>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row>
    <row r="271" ht="15.75" customHeight="1">
      <c r="A271" s="64"/>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row>
    <row r="272" ht="15.75" customHeight="1">
      <c r="A272" s="64"/>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row>
    <row r="273" ht="15.75" customHeight="1">
      <c r="A273" s="64"/>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row>
    <row r="274" ht="15.75" customHeight="1">
      <c r="A274" s="64"/>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row>
    <row r="275" ht="15.75" customHeight="1">
      <c r="A275" s="64"/>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row>
    <row r="276" ht="15.75" customHeight="1">
      <c r="A276" s="64"/>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row>
    <row r="277" ht="15.75" customHeight="1">
      <c r="A277" s="64"/>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row>
    <row r="278" ht="15.75" customHeight="1">
      <c r="A278" s="64"/>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row>
    <row r="279" ht="15.75" customHeight="1">
      <c r="A279" s="64"/>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row>
    <row r="280" ht="15.75" customHeight="1">
      <c r="A280" s="64"/>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row>
    <row r="281" ht="15.75" customHeight="1">
      <c r="A281" s="64"/>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row>
    <row r="282" ht="15.75" customHeight="1">
      <c r="A282" s="64"/>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row>
    <row r="283" ht="15.75" customHeight="1">
      <c r="A283" s="64"/>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row>
    <row r="284" ht="15.75" customHeight="1">
      <c r="A284" s="64"/>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row>
    <row r="285" ht="15.75" customHeight="1">
      <c r="A285" s="64"/>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row>
    <row r="286" ht="15.75" customHeight="1">
      <c r="A286" s="64"/>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row>
    <row r="287" ht="15.75" customHeight="1">
      <c r="A287" s="64"/>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row>
    <row r="288" ht="15.75" customHeight="1">
      <c r="A288" s="64"/>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row>
    <row r="289" ht="15.75" customHeight="1">
      <c r="A289" s="64"/>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row>
    <row r="290" ht="15.75" customHeight="1">
      <c r="A290" s="64"/>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row>
    <row r="291" ht="15.75" customHeight="1">
      <c r="A291" s="64"/>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row>
    <row r="292" ht="15.75" customHeight="1">
      <c r="A292" s="64"/>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row>
    <row r="293" ht="15.75" customHeight="1">
      <c r="A293" s="64"/>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row>
    <row r="294" ht="15.75" customHeight="1">
      <c r="A294" s="64"/>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row>
    <row r="295" ht="15.75" customHeight="1">
      <c r="A295" s="64"/>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row>
    <row r="296" ht="15.75" customHeight="1">
      <c r="A296" s="64"/>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row>
    <row r="297" ht="15.75" customHeight="1">
      <c r="A297" s="64"/>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row>
    <row r="298" ht="15.75" customHeight="1">
      <c r="A298" s="64"/>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row>
    <row r="299" ht="15.75" customHeight="1">
      <c r="A299" s="64"/>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row>
    <row r="300" ht="15.75" customHeight="1">
      <c r="A300" s="64"/>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row>
    <row r="301" ht="15.75" customHeight="1">
      <c r="A301" s="64"/>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row>
    <row r="302" ht="15.75" customHeight="1">
      <c r="A302" s="64"/>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row>
    <row r="303" ht="15.75" customHeight="1">
      <c r="A303" s="64"/>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row>
    <row r="304" ht="15.75" customHeight="1">
      <c r="A304" s="64"/>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row>
    <row r="305" ht="15.75" customHeight="1">
      <c r="A305" s="64"/>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row>
    <row r="306" ht="15.75" customHeight="1">
      <c r="A306" s="64"/>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row>
    <row r="307" ht="15.75" customHeight="1">
      <c r="A307" s="64"/>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row>
    <row r="308" ht="15.75" customHeight="1">
      <c r="A308" s="64"/>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row>
    <row r="309" ht="15.75" customHeight="1">
      <c r="A309" s="64"/>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row>
    <row r="310" ht="15.75" customHeight="1">
      <c r="A310" s="64"/>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row>
    <row r="311" ht="15.75" customHeight="1">
      <c r="A311" s="64"/>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row>
    <row r="312" ht="15.75" customHeight="1">
      <c r="A312" s="64"/>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row>
    <row r="313" ht="15.75" customHeight="1">
      <c r="A313" s="64"/>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row>
    <row r="314" ht="15.75" customHeight="1">
      <c r="A314" s="64"/>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row>
    <row r="315" ht="15.75" customHeight="1">
      <c r="A315" s="64"/>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row>
    <row r="316" ht="15.75" customHeight="1">
      <c r="A316" s="64"/>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row>
    <row r="317" ht="15.75" customHeight="1">
      <c r="A317" s="64"/>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row>
    <row r="318" ht="15.75" customHeight="1">
      <c r="A318" s="64"/>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row>
    <row r="319" ht="15.75" customHeight="1">
      <c r="A319" s="64"/>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row>
    <row r="320" ht="15.75" customHeight="1">
      <c r="A320" s="64"/>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row>
    <row r="321" ht="15.75" customHeight="1">
      <c r="A321" s="64"/>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row>
    <row r="322" ht="15.75" customHeight="1">
      <c r="A322" s="64"/>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row>
    <row r="323" ht="15.75" customHeight="1">
      <c r="A323" s="64"/>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row>
    <row r="324" ht="15.75" customHeight="1">
      <c r="A324" s="64"/>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row>
    <row r="325" ht="15.75" customHeight="1">
      <c r="A325" s="64"/>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row>
    <row r="326" ht="15.75" customHeight="1">
      <c r="A326" s="64"/>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row>
    <row r="327" ht="15.75" customHeight="1">
      <c r="A327" s="64"/>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row>
    <row r="328" ht="15.75" customHeight="1">
      <c r="A328" s="64"/>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row>
    <row r="329" ht="15.75" customHeight="1">
      <c r="A329" s="64"/>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row>
    <row r="330" ht="15.75" customHeight="1">
      <c r="A330" s="64"/>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row>
    <row r="331" ht="15.75" customHeight="1">
      <c r="A331" s="64"/>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row>
    <row r="332" ht="15.75" customHeight="1">
      <c r="A332" s="64"/>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row>
    <row r="333" ht="15.75" customHeight="1">
      <c r="A333" s="64"/>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row>
    <row r="334" ht="15.75" customHeight="1">
      <c r="A334" s="64"/>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row>
    <row r="335" ht="15.75" customHeight="1">
      <c r="A335" s="64"/>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row>
    <row r="336" ht="15.75" customHeight="1">
      <c r="A336" s="64"/>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row>
    <row r="337" ht="15.75" customHeight="1">
      <c r="A337" s="64"/>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row>
    <row r="338" ht="15.75" customHeight="1">
      <c r="A338" s="64"/>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row>
    <row r="339" ht="15.75" customHeight="1">
      <c r="A339" s="64"/>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row>
    <row r="340" ht="15.75" customHeight="1">
      <c r="A340" s="64"/>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row>
    <row r="341" ht="15.75" customHeight="1">
      <c r="A341" s="64"/>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row>
    <row r="342" ht="15.75" customHeight="1">
      <c r="A342" s="64"/>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row>
    <row r="343" ht="15.75" customHeight="1">
      <c r="A343" s="64"/>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row>
    <row r="344" ht="15.75" customHeight="1">
      <c r="A344" s="64"/>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row>
    <row r="345" ht="15.75" customHeight="1">
      <c r="A345" s="64"/>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row>
    <row r="346" ht="15.75" customHeight="1">
      <c r="A346" s="64"/>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row>
    <row r="347" ht="15.75" customHeight="1">
      <c r="A347" s="64"/>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row>
    <row r="348" ht="15.75" customHeight="1">
      <c r="A348" s="64"/>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row>
    <row r="349" ht="15.75" customHeight="1">
      <c r="A349" s="64"/>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row>
    <row r="350" ht="15.75" customHeight="1">
      <c r="A350" s="64"/>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row>
    <row r="351" ht="15.75" customHeight="1">
      <c r="A351" s="64"/>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row>
    <row r="352" ht="15.75" customHeight="1">
      <c r="A352" s="64"/>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row>
    <row r="353" ht="15.75" customHeight="1">
      <c r="A353" s="64"/>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row>
    <row r="354" ht="15.75" customHeight="1">
      <c r="A354" s="64"/>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row>
    <row r="355" ht="15.75" customHeight="1">
      <c r="A355" s="64"/>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row>
    <row r="356" ht="15.75" customHeight="1">
      <c r="A356" s="64"/>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row>
    <row r="357" ht="15.75" customHeight="1">
      <c r="A357" s="64"/>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row>
    <row r="358" ht="15.75" customHeight="1">
      <c r="A358" s="64"/>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row>
    <row r="359" ht="15.75" customHeight="1">
      <c r="A359" s="64"/>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row>
    <row r="360" ht="15.75" customHeight="1">
      <c r="A360" s="64"/>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row>
    <row r="361" ht="15.75" customHeight="1">
      <c r="A361" s="64"/>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row>
    <row r="362" ht="15.75" customHeight="1">
      <c r="A362" s="64"/>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row>
    <row r="363" ht="15.75" customHeight="1">
      <c r="A363" s="64"/>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row>
    <row r="364" ht="15.75" customHeight="1">
      <c r="A364" s="64"/>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row>
    <row r="365" ht="15.75" customHeight="1">
      <c r="A365" s="64"/>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row>
    <row r="366" ht="15.75" customHeight="1">
      <c r="A366" s="64"/>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row>
    <row r="367" ht="15.75" customHeight="1">
      <c r="A367" s="64"/>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row>
    <row r="368" ht="15.75" customHeight="1">
      <c r="A368" s="64"/>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row>
    <row r="369" ht="15.75" customHeight="1">
      <c r="A369" s="64"/>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row>
    <row r="370" ht="15.75" customHeight="1">
      <c r="A370" s="64"/>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row>
    <row r="371" ht="15.75" customHeight="1">
      <c r="A371" s="64"/>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row>
    <row r="372" ht="15.75" customHeight="1">
      <c r="A372" s="64"/>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row>
    <row r="373" ht="15.75" customHeight="1">
      <c r="A373" s="64"/>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row>
    <row r="374" ht="15.75" customHeight="1">
      <c r="A374" s="64"/>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row>
    <row r="375" ht="15.75" customHeight="1">
      <c r="A375" s="64"/>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row>
    <row r="376" ht="15.75" customHeight="1">
      <c r="A376" s="64"/>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row>
    <row r="377" ht="15.75" customHeight="1">
      <c r="A377" s="64"/>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row>
    <row r="378" ht="15.75" customHeight="1">
      <c r="A378" s="64"/>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row>
    <row r="379" ht="15.75" customHeight="1">
      <c r="A379" s="64"/>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row>
    <row r="380" ht="15.75" customHeight="1">
      <c r="A380" s="64"/>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row>
    <row r="381" ht="15.75" customHeight="1">
      <c r="A381" s="64"/>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row>
    <row r="382" ht="15.75" customHeight="1">
      <c r="A382" s="64"/>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row>
    <row r="383" ht="15.75" customHeight="1">
      <c r="A383" s="64"/>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row>
    <row r="384" ht="15.75" customHeight="1">
      <c r="A384" s="64"/>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row>
    <row r="385" ht="15.75" customHeight="1">
      <c r="A385" s="64"/>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row>
    <row r="386" ht="15.75" customHeight="1">
      <c r="A386" s="64"/>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row>
    <row r="387" ht="15.75" customHeight="1">
      <c r="A387" s="64"/>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row>
    <row r="388" ht="15.75" customHeight="1">
      <c r="A388" s="64"/>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row>
    <row r="389" ht="15.75" customHeight="1">
      <c r="A389" s="64"/>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row>
    <row r="390" ht="15.75" customHeight="1">
      <c r="A390" s="64"/>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row>
    <row r="391" ht="15.75" customHeight="1">
      <c r="A391" s="64"/>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row>
    <row r="392" ht="15.75" customHeight="1">
      <c r="A392" s="64"/>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row>
    <row r="393" ht="15.75" customHeight="1">
      <c r="A393" s="64"/>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row>
    <row r="394" ht="15.75" customHeight="1">
      <c r="A394" s="64"/>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row>
    <row r="395" ht="15.75" customHeight="1">
      <c r="A395" s="64"/>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row>
    <row r="396" ht="15.75" customHeight="1">
      <c r="A396" s="64"/>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row>
    <row r="397" ht="15.75" customHeight="1">
      <c r="A397" s="64"/>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row>
    <row r="398" ht="15.75" customHeight="1">
      <c r="A398" s="64"/>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row>
    <row r="399" ht="15.75" customHeight="1">
      <c r="A399" s="64"/>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row>
    <row r="400" ht="15.75" customHeight="1">
      <c r="A400" s="64"/>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row>
    <row r="401" ht="15.75" customHeight="1">
      <c r="A401" s="64"/>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row>
    <row r="402" ht="15.75" customHeight="1">
      <c r="A402" s="64"/>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row>
    <row r="403" ht="15.75" customHeight="1">
      <c r="A403" s="64"/>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row>
    <row r="404" ht="15.75" customHeight="1">
      <c r="A404" s="64"/>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row>
    <row r="405" ht="15.75" customHeight="1">
      <c r="A405" s="64"/>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row>
    <row r="406" ht="15.75" customHeight="1">
      <c r="A406" s="64"/>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row>
    <row r="407" ht="15.75" customHeight="1">
      <c r="A407" s="64"/>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row>
    <row r="408" ht="15.75" customHeight="1">
      <c r="A408" s="64"/>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row>
    <row r="409" ht="15.75" customHeight="1">
      <c r="A409" s="64"/>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row>
    <row r="410" ht="15.75" customHeight="1">
      <c r="A410" s="64"/>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row>
    <row r="411" ht="15.75" customHeight="1">
      <c r="A411" s="64"/>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row>
    <row r="412" ht="15.75" customHeight="1">
      <c r="A412" s="64"/>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row>
    <row r="413" ht="15.75" customHeight="1">
      <c r="A413" s="64"/>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row>
    <row r="414" ht="15.75" customHeight="1">
      <c r="A414" s="64"/>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row>
    <row r="415" ht="15.75" customHeight="1">
      <c r="A415" s="64"/>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row>
    <row r="416" ht="15.75" customHeight="1">
      <c r="A416" s="64"/>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row>
    <row r="417" ht="15.75" customHeight="1">
      <c r="A417" s="64"/>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row>
    <row r="418" ht="15.75" customHeight="1">
      <c r="A418" s="64"/>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row>
    <row r="419" ht="15.75" customHeight="1">
      <c r="A419" s="64"/>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row>
    <row r="420" ht="15.75" customHeight="1">
      <c r="A420" s="64"/>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row>
    <row r="421" ht="15.75" customHeight="1">
      <c r="A421" s="64"/>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row>
    <row r="422" ht="15.75" customHeight="1">
      <c r="A422" s="64"/>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row>
    <row r="423" ht="15.75" customHeight="1">
      <c r="A423" s="64"/>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row>
    <row r="424" ht="15.75" customHeight="1">
      <c r="A424" s="64"/>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row>
    <row r="425" ht="15.75" customHeight="1">
      <c r="A425" s="64"/>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row>
    <row r="426" ht="15.75" customHeight="1">
      <c r="A426" s="64"/>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row>
    <row r="427" ht="15.75" customHeight="1">
      <c r="A427" s="64"/>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row>
    <row r="428" ht="15.75" customHeight="1">
      <c r="A428" s="64"/>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row>
    <row r="429" ht="15.75" customHeight="1">
      <c r="A429" s="64"/>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row>
    <row r="430" ht="15.75" customHeight="1">
      <c r="A430" s="64"/>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row>
    <row r="431" ht="15.75" customHeight="1">
      <c r="A431" s="64"/>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row>
    <row r="432" ht="15.75" customHeight="1">
      <c r="A432" s="64"/>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row>
    <row r="433" ht="15.75" customHeight="1">
      <c r="A433" s="64"/>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row>
    <row r="434" ht="15.75" customHeight="1">
      <c r="A434" s="64"/>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row>
    <row r="435" ht="15.75" customHeight="1">
      <c r="A435" s="64"/>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row>
    <row r="436" ht="15.75" customHeight="1">
      <c r="A436" s="64"/>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row>
    <row r="437" ht="15.75" customHeight="1">
      <c r="A437" s="64"/>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row>
    <row r="438" ht="15.75" customHeight="1">
      <c r="A438" s="64"/>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row>
    <row r="439" ht="15.75" customHeight="1">
      <c r="A439" s="64"/>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row>
    <row r="440" ht="15.75" customHeight="1">
      <c r="A440" s="64"/>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row>
    <row r="441" ht="15.75" customHeight="1">
      <c r="A441" s="64"/>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row>
    <row r="442" ht="15.75" customHeight="1">
      <c r="A442" s="64"/>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row>
    <row r="443" ht="15.75" customHeight="1">
      <c r="A443" s="64"/>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row>
    <row r="444" ht="15.75" customHeight="1">
      <c r="A444" s="64"/>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row>
    <row r="445" ht="15.75" customHeight="1">
      <c r="A445" s="64"/>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row>
    <row r="446" ht="15.75" customHeight="1">
      <c r="A446" s="64"/>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row>
    <row r="447" ht="15.75" customHeight="1">
      <c r="A447" s="64"/>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row>
    <row r="448" ht="15.75" customHeight="1">
      <c r="A448" s="64"/>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row>
    <row r="449" ht="15.75" customHeight="1">
      <c r="A449" s="64"/>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row>
    <row r="450" ht="15.75" customHeight="1">
      <c r="A450" s="64"/>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row>
    <row r="451" ht="15.75" customHeight="1">
      <c r="A451" s="64"/>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row>
    <row r="452" ht="15.75" customHeight="1">
      <c r="A452" s="64"/>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row>
    <row r="453" ht="15.75" customHeight="1">
      <c r="A453" s="64"/>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row>
    <row r="454" ht="15.75" customHeight="1">
      <c r="A454" s="64"/>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row>
    <row r="455" ht="15.75" customHeight="1">
      <c r="A455" s="64"/>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row>
    <row r="456" ht="15.75" customHeight="1">
      <c r="A456" s="64"/>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row>
    <row r="457" ht="15.75" customHeight="1">
      <c r="A457" s="64"/>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row>
    <row r="458" ht="15.75" customHeight="1">
      <c r="A458" s="64"/>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row>
    <row r="459" ht="15.75" customHeight="1">
      <c r="A459" s="64"/>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row>
    <row r="460" ht="15.75" customHeight="1">
      <c r="A460" s="64"/>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row>
    <row r="461" ht="15.75" customHeight="1">
      <c r="A461" s="64"/>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row>
    <row r="462" ht="15.75" customHeight="1">
      <c r="A462" s="64"/>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row>
    <row r="463" ht="15.75" customHeight="1">
      <c r="A463" s="64"/>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row>
    <row r="464" ht="15.75" customHeight="1">
      <c r="A464" s="64"/>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row>
    <row r="465" ht="15.75" customHeight="1">
      <c r="A465" s="64"/>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row>
    <row r="466" ht="15.75" customHeight="1">
      <c r="A466" s="64"/>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row>
    <row r="467" ht="15.75" customHeight="1">
      <c r="A467" s="64"/>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row>
    <row r="468" ht="15.75" customHeight="1">
      <c r="A468" s="64"/>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row>
    <row r="469" ht="15.75" customHeight="1">
      <c r="A469" s="64"/>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row>
    <row r="470" ht="15.75" customHeight="1">
      <c r="A470" s="64"/>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row>
    <row r="471" ht="15.75" customHeight="1">
      <c r="A471" s="64"/>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row>
    <row r="472" ht="15.75" customHeight="1">
      <c r="A472" s="64"/>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row>
    <row r="473" ht="15.75" customHeight="1">
      <c r="A473" s="64"/>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row>
    <row r="474" ht="15.75" customHeight="1">
      <c r="A474" s="64"/>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row>
    <row r="475" ht="15.75" customHeight="1">
      <c r="A475" s="64"/>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row>
    <row r="476" ht="15.75" customHeight="1">
      <c r="A476" s="64"/>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row>
    <row r="477" ht="15.75" customHeight="1">
      <c r="A477" s="64"/>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row>
    <row r="478" ht="15.75" customHeight="1">
      <c r="A478" s="64"/>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row>
    <row r="479" ht="15.75" customHeight="1">
      <c r="A479" s="64"/>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row>
    <row r="480" ht="15.75" customHeight="1">
      <c r="A480" s="64"/>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row>
    <row r="481" ht="15.75" customHeight="1">
      <c r="A481" s="64"/>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row>
    <row r="482" ht="15.75" customHeight="1">
      <c r="A482" s="64"/>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row>
    <row r="483" ht="15.75" customHeight="1">
      <c r="A483" s="64"/>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row>
    <row r="484" ht="15.75" customHeight="1">
      <c r="A484" s="64"/>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row>
    <row r="485" ht="15.75" customHeight="1">
      <c r="A485" s="64"/>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row>
    <row r="486" ht="15.75" customHeight="1">
      <c r="A486" s="64"/>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row>
    <row r="487" ht="15.75" customHeight="1">
      <c r="A487" s="64"/>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row>
    <row r="488" ht="15.75" customHeight="1">
      <c r="A488" s="64"/>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row>
    <row r="489" ht="15.75" customHeight="1">
      <c r="A489" s="64"/>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row>
    <row r="490" ht="15.75" customHeight="1">
      <c r="A490" s="64"/>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row>
    <row r="491" ht="15.75" customHeight="1">
      <c r="A491" s="64"/>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row>
    <row r="492" ht="15.75" customHeight="1">
      <c r="A492" s="64"/>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row>
    <row r="493" ht="15.75" customHeight="1">
      <c r="A493" s="64"/>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row>
    <row r="494" ht="15.75" customHeight="1">
      <c r="A494" s="64"/>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row>
    <row r="495" ht="15.75" customHeight="1">
      <c r="A495" s="64"/>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row>
    <row r="496" ht="15.75" customHeight="1">
      <c r="A496" s="64"/>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row>
    <row r="497" ht="15.75" customHeight="1">
      <c r="A497" s="64"/>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row>
    <row r="498" ht="15.75" customHeight="1">
      <c r="A498" s="64"/>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row>
    <row r="499" ht="15.75" customHeight="1">
      <c r="A499" s="64"/>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row>
    <row r="500" ht="15.75" customHeight="1">
      <c r="A500" s="64"/>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row>
    <row r="501" ht="15.75" customHeight="1">
      <c r="A501" s="64"/>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row>
    <row r="502" ht="15.75" customHeight="1">
      <c r="A502" s="64"/>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row>
    <row r="503" ht="15.75" customHeight="1">
      <c r="A503" s="64"/>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row>
    <row r="504" ht="15.75" customHeight="1">
      <c r="A504" s="64"/>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row>
    <row r="505" ht="15.75" customHeight="1">
      <c r="A505" s="64"/>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row>
    <row r="506" ht="15.75" customHeight="1">
      <c r="A506" s="64"/>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row>
    <row r="507" ht="15.75" customHeight="1">
      <c r="A507" s="64"/>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row>
    <row r="508" ht="15.75" customHeight="1">
      <c r="A508" s="64"/>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row>
    <row r="509" ht="15.75" customHeight="1">
      <c r="A509" s="64"/>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row>
    <row r="510" ht="15.75" customHeight="1">
      <c r="A510" s="64"/>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row>
    <row r="511" ht="15.75" customHeight="1">
      <c r="A511" s="64"/>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row>
    <row r="512" ht="15.75" customHeight="1">
      <c r="A512" s="64"/>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row>
    <row r="513" ht="15.75" customHeight="1">
      <c r="A513" s="64"/>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row>
    <row r="514" ht="15.75" customHeight="1">
      <c r="A514" s="64"/>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row>
    <row r="515" ht="15.75" customHeight="1">
      <c r="A515" s="64"/>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row>
    <row r="516" ht="15.75" customHeight="1">
      <c r="A516" s="64"/>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row>
    <row r="517" ht="15.75" customHeight="1">
      <c r="A517" s="64"/>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row>
    <row r="518" ht="15.75" customHeight="1">
      <c r="A518" s="64"/>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row>
    <row r="519" ht="15.75" customHeight="1">
      <c r="A519" s="64"/>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row>
    <row r="520" ht="15.75" customHeight="1">
      <c r="A520" s="64"/>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row>
    <row r="521" ht="15.75" customHeight="1">
      <c r="A521" s="64"/>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row>
    <row r="522" ht="15.75" customHeight="1">
      <c r="A522" s="64"/>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row>
    <row r="523" ht="15.75" customHeight="1">
      <c r="A523" s="64"/>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row>
    <row r="524" ht="15.75" customHeight="1">
      <c r="A524" s="64"/>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row>
    <row r="525" ht="15.75" customHeight="1">
      <c r="A525" s="64"/>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row>
    <row r="526" ht="15.75" customHeight="1">
      <c r="A526" s="64"/>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row>
    <row r="527" ht="15.75" customHeight="1">
      <c r="A527" s="64"/>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row>
    <row r="528" ht="15.75" customHeight="1">
      <c r="A528" s="64"/>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row>
    <row r="529" ht="15.75" customHeight="1">
      <c r="A529" s="64"/>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row>
    <row r="530" ht="15.75" customHeight="1">
      <c r="A530" s="64"/>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row>
    <row r="531" ht="15.75" customHeight="1">
      <c r="A531" s="64"/>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row>
    <row r="532" ht="15.75" customHeight="1">
      <c r="A532" s="64"/>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row>
    <row r="533" ht="15.75" customHeight="1">
      <c r="A533" s="64"/>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row>
    <row r="534" ht="15.75" customHeight="1">
      <c r="A534" s="64"/>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row>
    <row r="535" ht="15.75" customHeight="1">
      <c r="A535" s="64"/>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row>
    <row r="536" ht="15.75" customHeight="1">
      <c r="A536" s="64"/>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row>
    <row r="537" ht="15.75" customHeight="1">
      <c r="A537" s="64"/>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row>
    <row r="538" ht="15.75" customHeight="1">
      <c r="A538" s="64"/>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row>
    <row r="539" ht="15.75" customHeight="1">
      <c r="A539" s="64"/>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row>
    <row r="540" ht="15.75" customHeight="1">
      <c r="A540" s="64"/>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row>
    <row r="541" ht="15.75" customHeight="1">
      <c r="A541" s="64"/>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row>
    <row r="542" ht="15.75" customHeight="1">
      <c r="A542" s="64"/>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row>
    <row r="543" ht="15.75" customHeight="1">
      <c r="A543" s="64"/>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row>
    <row r="544" ht="15.75" customHeight="1">
      <c r="A544" s="64"/>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row>
    <row r="545" ht="15.75" customHeight="1">
      <c r="A545" s="64"/>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row>
    <row r="546" ht="15.75" customHeight="1">
      <c r="A546" s="64"/>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row>
    <row r="547" ht="15.75" customHeight="1">
      <c r="A547" s="64"/>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row>
    <row r="548" ht="15.75" customHeight="1">
      <c r="A548" s="64"/>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row>
    <row r="549" ht="15.75" customHeight="1">
      <c r="A549" s="64"/>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row>
    <row r="550" ht="15.75" customHeight="1">
      <c r="A550" s="64"/>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row>
    <row r="551" ht="15.75" customHeight="1">
      <c r="A551" s="64"/>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row>
    <row r="552" ht="15.75" customHeight="1">
      <c r="A552" s="64"/>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row>
    <row r="553" ht="15.75" customHeight="1">
      <c r="A553" s="64"/>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row>
    <row r="554" ht="15.75" customHeight="1">
      <c r="A554" s="64"/>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row>
    <row r="555" ht="15.75" customHeight="1">
      <c r="A555" s="64"/>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row>
    <row r="556" ht="15.75" customHeight="1">
      <c r="A556" s="64"/>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row>
    <row r="557" ht="15.75" customHeight="1">
      <c r="A557" s="64"/>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row>
    <row r="558" ht="15.75" customHeight="1">
      <c r="A558" s="64"/>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row>
    <row r="559" ht="15.75" customHeight="1">
      <c r="A559" s="64"/>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row>
    <row r="560" ht="15.75" customHeight="1">
      <c r="A560" s="64"/>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row>
    <row r="561" ht="15.75" customHeight="1">
      <c r="A561" s="64"/>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row>
    <row r="562" ht="15.75" customHeight="1">
      <c r="A562" s="64"/>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row>
    <row r="563" ht="15.75" customHeight="1">
      <c r="A563" s="64"/>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row>
    <row r="564" ht="15.75" customHeight="1">
      <c r="A564" s="64"/>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row>
    <row r="565" ht="15.75" customHeight="1">
      <c r="A565" s="64"/>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row>
    <row r="566" ht="15.75" customHeight="1">
      <c r="A566" s="64"/>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row>
    <row r="567" ht="15.75" customHeight="1">
      <c r="A567" s="64"/>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row>
    <row r="568" ht="15.75" customHeight="1">
      <c r="A568" s="64"/>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row>
    <row r="569" ht="15.75" customHeight="1">
      <c r="A569" s="64"/>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row>
    <row r="570" ht="15.75" customHeight="1">
      <c r="A570" s="64"/>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row>
    <row r="571" ht="15.75" customHeight="1">
      <c r="A571" s="64"/>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row>
    <row r="572" ht="15.75" customHeight="1">
      <c r="A572" s="64"/>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row>
    <row r="573" ht="15.75" customHeight="1">
      <c r="A573" s="64"/>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row>
    <row r="574" ht="15.75" customHeight="1">
      <c r="A574" s="64"/>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row>
    <row r="575" ht="15.75" customHeight="1">
      <c r="A575" s="64"/>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row>
    <row r="576" ht="15.75" customHeight="1">
      <c r="A576" s="64"/>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row>
    <row r="577" ht="15.75" customHeight="1">
      <c r="A577" s="64"/>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row>
    <row r="578" ht="15.75" customHeight="1">
      <c r="A578" s="64"/>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row>
    <row r="579" ht="15.75" customHeight="1">
      <c r="A579" s="64"/>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row>
    <row r="580" ht="15.75" customHeight="1">
      <c r="A580" s="64"/>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row>
    <row r="581" ht="15.75" customHeight="1">
      <c r="A581" s="64"/>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row>
    <row r="582" ht="15.75" customHeight="1">
      <c r="A582" s="64"/>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row>
    <row r="583" ht="15.75" customHeight="1">
      <c r="A583" s="64"/>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row>
    <row r="584" ht="15.75" customHeight="1">
      <c r="A584" s="64"/>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row>
    <row r="585" ht="15.75" customHeight="1">
      <c r="A585" s="64"/>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row>
    <row r="586" ht="15.75" customHeight="1">
      <c r="A586" s="64"/>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row>
    <row r="587" ht="15.75" customHeight="1">
      <c r="A587" s="64"/>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row>
    <row r="588" ht="15.75" customHeight="1">
      <c r="A588" s="64"/>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row>
    <row r="589" ht="15.75" customHeight="1">
      <c r="A589" s="64"/>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row>
    <row r="590" ht="15.75" customHeight="1">
      <c r="A590" s="64"/>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row>
    <row r="591" ht="15.75" customHeight="1">
      <c r="A591" s="64"/>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row>
    <row r="592" ht="15.75" customHeight="1">
      <c r="A592" s="64"/>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row>
    <row r="593" ht="15.75" customHeight="1">
      <c r="A593" s="64"/>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row>
    <row r="594" ht="15.75" customHeight="1">
      <c r="A594" s="64"/>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row>
    <row r="595" ht="15.75" customHeight="1">
      <c r="A595" s="64"/>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row>
    <row r="596" ht="15.75" customHeight="1">
      <c r="A596" s="64"/>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row>
    <row r="597" ht="15.75" customHeight="1">
      <c r="A597" s="64"/>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row>
    <row r="598" ht="15.75" customHeight="1">
      <c r="A598" s="64"/>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row>
    <row r="599" ht="15.75" customHeight="1">
      <c r="A599" s="64"/>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row>
    <row r="600" ht="15.75" customHeight="1">
      <c r="A600" s="64"/>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row>
    <row r="601" ht="15.75" customHeight="1">
      <c r="A601" s="64"/>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row>
    <row r="602" ht="15.75" customHeight="1">
      <c r="A602" s="64"/>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row>
    <row r="603" ht="15.75" customHeight="1">
      <c r="A603" s="64"/>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row>
    <row r="604" ht="15.75" customHeight="1">
      <c r="A604" s="64"/>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row>
    <row r="605" ht="15.75" customHeight="1">
      <c r="A605" s="64"/>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row>
    <row r="606" ht="15.75" customHeight="1">
      <c r="A606" s="64"/>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row>
    <row r="607" ht="15.75" customHeight="1">
      <c r="A607" s="64"/>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row>
    <row r="608" ht="15.75" customHeight="1">
      <c r="A608" s="64"/>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row>
    <row r="609" ht="15.75" customHeight="1">
      <c r="A609" s="64"/>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row>
    <row r="610" ht="15.75" customHeight="1">
      <c r="A610" s="64"/>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row>
    <row r="611" ht="15.75" customHeight="1">
      <c r="A611" s="64"/>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row>
    <row r="612" ht="15.75" customHeight="1">
      <c r="A612" s="64"/>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row>
    <row r="613" ht="15.75" customHeight="1">
      <c r="A613" s="64"/>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row>
    <row r="614" ht="15.75" customHeight="1">
      <c r="A614" s="64"/>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row>
    <row r="615" ht="15.75" customHeight="1">
      <c r="A615" s="64"/>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row>
    <row r="616" ht="15.75" customHeight="1">
      <c r="A616" s="64"/>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row>
    <row r="617" ht="15.75" customHeight="1">
      <c r="A617" s="64"/>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row>
    <row r="618" ht="15.75" customHeight="1">
      <c r="A618" s="64"/>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row>
    <row r="619" ht="15.75" customHeight="1">
      <c r="A619" s="64"/>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row>
    <row r="620" ht="15.75" customHeight="1">
      <c r="A620" s="64"/>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row>
    <row r="621" ht="15.75" customHeight="1">
      <c r="A621" s="64"/>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row>
    <row r="622" ht="15.75" customHeight="1">
      <c r="A622" s="64"/>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row>
    <row r="623" ht="15.75" customHeight="1">
      <c r="A623" s="64"/>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row>
    <row r="624" ht="15.75" customHeight="1">
      <c r="A624" s="64"/>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row>
    <row r="625" ht="15.75" customHeight="1">
      <c r="A625" s="64"/>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row>
    <row r="626" ht="15.75" customHeight="1">
      <c r="A626" s="64"/>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row>
    <row r="627" ht="15.75" customHeight="1">
      <c r="A627" s="64"/>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row>
    <row r="628" ht="15.75" customHeight="1">
      <c r="A628" s="64"/>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row>
    <row r="629" ht="15.75" customHeight="1">
      <c r="A629" s="64"/>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row>
    <row r="630" ht="15.75" customHeight="1">
      <c r="A630" s="64"/>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row>
    <row r="631" ht="15.75" customHeight="1">
      <c r="A631" s="64"/>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row>
    <row r="632" ht="15.75" customHeight="1">
      <c r="A632" s="64"/>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row>
    <row r="633" ht="15.75" customHeight="1">
      <c r="A633" s="64"/>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row>
    <row r="634" ht="15.75" customHeight="1">
      <c r="A634" s="64"/>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row>
    <row r="635" ht="15.75" customHeight="1">
      <c r="A635" s="64"/>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row>
    <row r="636" ht="15.75" customHeight="1">
      <c r="A636" s="64"/>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row>
    <row r="637" ht="15.75" customHeight="1">
      <c r="A637" s="64"/>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row>
    <row r="638" ht="15.75" customHeight="1">
      <c r="A638" s="64"/>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row>
    <row r="639" ht="15.75" customHeight="1">
      <c r="A639" s="64"/>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row>
    <row r="640" ht="15.75" customHeight="1">
      <c r="A640" s="64"/>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row>
    <row r="641" ht="15.75" customHeight="1">
      <c r="A641" s="64"/>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row>
    <row r="642" ht="15.75" customHeight="1">
      <c r="A642" s="64"/>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row>
    <row r="643" ht="15.75" customHeight="1">
      <c r="A643" s="64"/>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row>
    <row r="644" ht="15.75" customHeight="1">
      <c r="A644" s="64"/>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row>
    <row r="645" ht="15.75" customHeight="1">
      <c r="A645" s="64"/>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row>
    <row r="646" ht="15.75" customHeight="1">
      <c r="A646" s="64"/>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row>
    <row r="647" ht="15.75" customHeight="1">
      <c r="A647" s="64"/>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row>
    <row r="648" ht="15.75" customHeight="1">
      <c r="A648" s="64"/>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row>
    <row r="649" ht="15.75" customHeight="1">
      <c r="A649" s="64"/>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row>
    <row r="650" ht="15.75" customHeight="1">
      <c r="A650" s="64"/>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row>
    <row r="651" ht="15.75" customHeight="1">
      <c r="A651" s="64"/>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row>
    <row r="652" ht="15.75" customHeight="1">
      <c r="A652" s="64"/>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row>
    <row r="653" ht="15.75" customHeight="1">
      <c r="A653" s="64"/>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row>
    <row r="654" ht="15.75" customHeight="1">
      <c r="A654" s="64"/>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row>
    <row r="655" ht="15.75" customHeight="1">
      <c r="A655" s="64"/>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row>
    <row r="656" ht="15.75" customHeight="1">
      <c r="A656" s="64"/>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row>
    <row r="657" ht="15.75" customHeight="1">
      <c r="A657" s="64"/>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row>
    <row r="658" ht="15.75" customHeight="1">
      <c r="A658" s="64"/>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row>
    <row r="659" ht="15.75" customHeight="1">
      <c r="A659" s="64"/>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row>
    <row r="660" ht="15.75" customHeight="1">
      <c r="A660" s="64"/>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row>
    <row r="661" ht="15.75" customHeight="1">
      <c r="A661" s="64"/>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row>
    <row r="662" ht="15.75" customHeight="1">
      <c r="A662" s="64"/>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row>
    <row r="663" ht="15.75" customHeight="1">
      <c r="A663" s="64"/>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row>
    <row r="664" ht="15.75" customHeight="1">
      <c r="A664" s="64"/>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row>
    <row r="665" ht="15.75" customHeight="1">
      <c r="A665" s="64"/>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row>
    <row r="666" ht="15.75" customHeight="1">
      <c r="A666" s="64"/>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row>
    <row r="667" ht="15.75" customHeight="1">
      <c r="A667" s="64"/>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row>
    <row r="668" ht="15.75" customHeight="1">
      <c r="A668" s="64"/>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row>
    <row r="669" ht="15.75" customHeight="1">
      <c r="A669" s="64"/>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row>
    <row r="670" ht="15.75" customHeight="1">
      <c r="A670" s="64"/>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row>
    <row r="671" ht="15.75" customHeight="1">
      <c r="A671" s="64"/>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row>
    <row r="672" ht="15.75" customHeight="1">
      <c r="A672" s="64"/>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row>
    <row r="673" ht="15.75" customHeight="1">
      <c r="A673" s="64"/>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row>
    <row r="674" ht="15.75" customHeight="1">
      <c r="A674" s="64"/>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row>
    <row r="675" ht="15.75" customHeight="1">
      <c r="A675" s="64"/>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row>
    <row r="676" ht="15.75" customHeight="1">
      <c r="A676" s="64"/>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row>
    <row r="677" ht="15.75" customHeight="1">
      <c r="A677" s="64"/>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row>
    <row r="678" ht="15.75" customHeight="1">
      <c r="A678" s="64"/>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row>
    <row r="679" ht="15.75" customHeight="1">
      <c r="A679" s="64"/>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row>
    <row r="680" ht="15.75" customHeight="1">
      <c r="A680" s="64"/>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row>
    <row r="681" ht="15.75" customHeight="1">
      <c r="A681" s="64"/>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row>
    <row r="682" ht="15.75" customHeight="1">
      <c r="A682" s="64"/>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row>
    <row r="683" ht="15.75" customHeight="1">
      <c r="A683" s="64"/>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row>
    <row r="684" ht="15.75" customHeight="1">
      <c r="A684" s="64"/>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row>
    <row r="685" ht="15.75" customHeight="1">
      <c r="A685" s="64"/>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row>
    <row r="686" ht="15.75" customHeight="1">
      <c r="A686" s="64"/>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row>
    <row r="687" ht="15.75" customHeight="1">
      <c r="A687" s="64"/>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row>
    <row r="688" ht="15.75" customHeight="1">
      <c r="A688" s="64"/>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row>
    <row r="689" ht="15.75" customHeight="1">
      <c r="A689" s="64"/>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row>
    <row r="690" ht="15.75" customHeight="1">
      <c r="A690" s="64"/>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row>
    <row r="691" ht="15.75" customHeight="1">
      <c r="A691" s="64"/>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row>
    <row r="692" ht="15.75" customHeight="1">
      <c r="A692" s="64"/>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row>
    <row r="693" ht="15.75" customHeight="1">
      <c r="A693" s="64"/>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row>
    <row r="694" ht="15.75" customHeight="1">
      <c r="A694" s="64"/>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row>
    <row r="695" ht="15.75" customHeight="1">
      <c r="A695" s="64"/>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row>
    <row r="696" ht="15.75" customHeight="1">
      <c r="A696" s="64"/>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row>
    <row r="697" ht="15.75" customHeight="1">
      <c r="A697" s="64"/>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row>
    <row r="698" ht="15.75" customHeight="1">
      <c r="A698" s="64"/>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row>
    <row r="699" ht="15.75" customHeight="1">
      <c r="A699" s="64"/>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row>
    <row r="700" ht="15.75" customHeight="1">
      <c r="A700" s="64"/>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row>
    <row r="701" ht="15.75" customHeight="1">
      <c r="A701" s="64"/>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row>
    <row r="702" ht="15.75" customHeight="1">
      <c r="A702" s="64"/>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row>
    <row r="703" ht="15.75" customHeight="1">
      <c r="A703" s="64"/>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row>
    <row r="704" ht="15.75" customHeight="1">
      <c r="A704" s="64"/>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row>
    <row r="705" ht="15.75" customHeight="1">
      <c r="A705" s="64"/>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row>
    <row r="706" ht="15.75" customHeight="1">
      <c r="A706" s="64"/>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row>
    <row r="707" ht="15.75" customHeight="1">
      <c r="A707" s="64"/>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row>
    <row r="708" ht="15.75" customHeight="1">
      <c r="A708" s="64"/>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row>
    <row r="709" ht="15.75" customHeight="1">
      <c r="A709" s="64"/>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row>
    <row r="710" ht="15.75" customHeight="1">
      <c r="A710" s="64"/>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row>
    <row r="711" ht="15.75" customHeight="1">
      <c r="A711" s="64"/>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row>
    <row r="712" ht="15.75" customHeight="1">
      <c r="A712" s="64"/>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row>
    <row r="713" ht="15.75" customHeight="1">
      <c r="A713" s="64"/>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row>
    <row r="714" ht="15.75" customHeight="1">
      <c r="A714" s="64"/>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row>
    <row r="715" ht="15.75" customHeight="1">
      <c r="A715" s="64"/>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row>
    <row r="716" ht="15.75" customHeight="1">
      <c r="A716" s="64"/>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row>
    <row r="717" ht="15.75" customHeight="1">
      <c r="A717" s="64"/>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row>
    <row r="718" ht="15.75" customHeight="1">
      <c r="A718" s="64"/>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row>
    <row r="719" ht="15.75" customHeight="1">
      <c r="A719" s="64"/>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row>
    <row r="720" ht="15.75" customHeight="1">
      <c r="A720" s="64"/>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row>
    <row r="721" ht="15.75" customHeight="1">
      <c r="A721" s="64"/>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row>
    <row r="722" ht="15.75" customHeight="1">
      <c r="A722" s="64"/>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row>
    <row r="723" ht="15.75" customHeight="1">
      <c r="A723" s="64"/>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row>
    <row r="724" ht="15.75" customHeight="1">
      <c r="A724" s="64"/>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row>
    <row r="725" ht="15.75" customHeight="1">
      <c r="A725" s="64"/>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row>
    <row r="726" ht="15.75" customHeight="1">
      <c r="A726" s="64"/>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row>
    <row r="727" ht="15.75" customHeight="1">
      <c r="A727" s="64"/>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row>
    <row r="728" ht="15.75" customHeight="1">
      <c r="A728" s="64"/>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row>
    <row r="729" ht="15.75" customHeight="1">
      <c r="A729" s="64"/>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row>
    <row r="730" ht="15.75" customHeight="1">
      <c r="A730" s="64"/>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row>
    <row r="731" ht="15.75" customHeight="1">
      <c r="A731" s="64"/>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row>
    <row r="732" ht="15.75" customHeight="1">
      <c r="A732" s="64"/>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row>
    <row r="733" ht="15.75" customHeight="1">
      <c r="A733" s="64"/>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row>
    <row r="734" ht="15.75" customHeight="1">
      <c r="A734" s="64"/>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row>
    <row r="735" ht="15.75" customHeight="1">
      <c r="A735" s="64"/>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row>
    <row r="736" ht="15.75" customHeight="1">
      <c r="A736" s="64"/>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row>
    <row r="737" ht="15.75" customHeight="1">
      <c r="A737" s="64"/>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row>
    <row r="738" ht="15.75" customHeight="1">
      <c r="A738" s="64"/>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row>
    <row r="739" ht="15.75" customHeight="1">
      <c r="A739" s="64"/>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row>
    <row r="740" ht="15.75" customHeight="1">
      <c r="A740" s="64"/>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row>
    <row r="741" ht="15.75" customHeight="1">
      <c r="A741" s="64"/>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row>
    <row r="742" ht="15.75" customHeight="1">
      <c r="A742" s="64"/>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row>
    <row r="743" ht="15.75" customHeight="1">
      <c r="A743" s="64"/>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row>
    <row r="744" ht="15.75" customHeight="1">
      <c r="A744" s="64"/>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row>
    <row r="745" ht="15.75" customHeight="1">
      <c r="A745" s="64"/>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row>
    <row r="746" ht="15.75" customHeight="1">
      <c r="A746" s="64"/>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row>
    <row r="747" ht="15.75" customHeight="1">
      <c r="A747" s="64"/>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row>
    <row r="748" ht="15.75" customHeight="1">
      <c r="A748" s="64"/>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row>
    <row r="749" ht="15.75" customHeight="1">
      <c r="A749" s="64"/>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row>
    <row r="750" ht="15.75" customHeight="1">
      <c r="A750" s="64"/>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row>
    <row r="751" ht="15.75" customHeight="1">
      <c r="A751" s="64"/>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row>
    <row r="752" ht="15.75" customHeight="1">
      <c r="A752" s="64"/>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row>
    <row r="753" ht="15.75" customHeight="1">
      <c r="A753" s="64"/>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row>
    <row r="754" ht="15.75" customHeight="1">
      <c r="A754" s="64"/>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row>
    <row r="755" ht="15.75" customHeight="1">
      <c r="A755" s="64"/>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row>
    <row r="756" ht="15.75" customHeight="1">
      <c r="A756" s="64"/>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row>
    <row r="757" ht="15.75" customHeight="1">
      <c r="A757" s="64"/>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row>
    <row r="758" ht="15.75" customHeight="1">
      <c r="A758" s="64"/>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row>
    <row r="759" ht="15.75" customHeight="1">
      <c r="A759" s="64"/>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row>
    <row r="760" ht="15.75" customHeight="1">
      <c r="A760" s="64"/>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row>
    <row r="761" ht="15.75" customHeight="1">
      <c r="A761" s="64"/>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row>
    <row r="762" ht="15.75" customHeight="1">
      <c r="A762" s="64"/>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row>
    <row r="763" ht="15.75" customHeight="1">
      <c r="A763" s="64"/>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row>
    <row r="764" ht="15.75" customHeight="1">
      <c r="A764" s="64"/>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row>
    <row r="765" ht="15.75" customHeight="1">
      <c r="A765" s="64"/>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row>
    <row r="766" ht="15.75" customHeight="1">
      <c r="A766" s="64"/>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row>
    <row r="767" ht="15.75" customHeight="1">
      <c r="A767" s="64"/>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row>
    <row r="768" ht="15.75" customHeight="1">
      <c r="A768" s="64"/>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row>
    <row r="769" ht="15.75" customHeight="1">
      <c r="A769" s="64"/>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row>
    <row r="770" ht="15.75" customHeight="1">
      <c r="A770" s="64"/>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row>
    <row r="771" ht="15.75" customHeight="1">
      <c r="A771" s="64"/>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row>
    <row r="772" ht="15.75" customHeight="1">
      <c r="A772" s="64"/>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row>
    <row r="773" ht="15.75" customHeight="1">
      <c r="A773" s="64"/>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row>
    <row r="774" ht="15.75" customHeight="1">
      <c r="A774" s="64"/>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row>
    <row r="775" ht="15.75" customHeight="1">
      <c r="A775" s="64"/>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row>
    <row r="776" ht="15.75" customHeight="1">
      <c r="A776" s="64"/>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row>
    <row r="777" ht="15.75" customHeight="1">
      <c r="A777" s="64"/>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row>
    <row r="778" ht="15.75" customHeight="1">
      <c r="A778" s="64"/>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row>
    <row r="779" ht="15.75" customHeight="1">
      <c r="A779" s="64"/>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row>
    <row r="780" ht="15.75" customHeight="1">
      <c r="A780" s="64"/>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row>
    <row r="781" ht="15.75" customHeight="1">
      <c r="A781" s="64"/>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row>
    <row r="782" ht="15.75" customHeight="1">
      <c r="A782" s="64"/>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row>
    <row r="783" ht="15.75" customHeight="1">
      <c r="A783" s="64"/>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row>
    <row r="784" ht="15.75" customHeight="1">
      <c r="A784" s="64"/>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row>
    <row r="785" ht="15.75" customHeight="1">
      <c r="A785" s="64"/>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row>
    <row r="786" ht="15.75" customHeight="1">
      <c r="A786" s="64"/>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row>
    <row r="787" ht="15.75" customHeight="1">
      <c r="A787" s="64"/>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row>
    <row r="788" ht="15.75" customHeight="1">
      <c r="A788" s="64"/>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row>
    <row r="789" ht="15.75" customHeight="1">
      <c r="A789" s="64"/>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row>
    <row r="790" ht="15.75" customHeight="1">
      <c r="A790" s="64"/>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row>
    <row r="791" ht="15.75" customHeight="1">
      <c r="A791" s="64"/>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row>
    <row r="792" ht="15.75" customHeight="1">
      <c r="A792" s="64"/>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row>
    <row r="793" ht="15.75" customHeight="1">
      <c r="A793" s="64"/>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row>
    <row r="794" ht="15.75" customHeight="1">
      <c r="A794" s="64"/>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row>
    <row r="795" ht="15.75" customHeight="1">
      <c r="A795" s="64"/>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row>
    <row r="796" ht="15.75" customHeight="1">
      <c r="A796" s="64"/>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row>
    <row r="797" ht="15.75" customHeight="1">
      <c r="A797" s="64"/>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row>
    <row r="798" ht="15.75" customHeight="1">
      <c r="A798" s="64"/>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row>
    <row r="799" ht="15.75" customHeight="1">
      <c r="A799" s="64"/>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row>
    <row r="800" ht="15.75" customHeight="1">
      <c r="A800" s="64"/>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row>
    <row r="801" ht="15.75" customHeight="1">
      <c r="A801" s="64"/>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row>
    <row r="802" ht="15.75" customHeight="1">
      <c r="A802" s="64"/>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row>
    <row r="803" ht="15.75" customHeight="1">
      <c r="A803" s="64"/>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row>
    <row r="804" ht="15.75" customHeight="1">
      <c r="A804" s="64"/>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row>
    <row r="805" ht="15.75" customHeight="1">
      <c r="A805" s="64"/>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row>
    <row r="806" ht="15.75" customHeight="1">
      <c r="A806" s="64"/>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row>
    <row r="807" ht="15.75" customHeight="1">
      <c r="A807" s="64"/>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row>
    <row r="808" ht="15.75" customHeight="1">
      <c r="A808" s="64"/>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row>
    <row r="809" ht="15.75" customHeight="1">
      <c r="A809" s="64"/>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row>
    <row r="810" ht="15.75" customHeight="1">
      <c r="A810" s="64"/>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row>
    <row r="811" ht="15.75" customHeight="1">
      <c r="A811" s="64"/>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row>
    <row r="812" ht="15.75" customHeight="1">
      <c r="A812" s="64"/>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row>
    <row r="813" ht="15.75" customHeight="1">
      <c r="A813" s="64"/>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row>
    <row r="814" ht="15.75" customHeight="1">
      <c r="A814" s="64"/>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row>
    <row r="815" ht="15.75" customHeight="1">
      <c r="A815" s="64"/>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row>
    <row r="816" ht="15.75" customHeight="1">
      <c r="A816" s="64"/>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row>
    <row r="817" ht="15.75" customHeight="1">
      <c r="A817" s="64"/>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row>
    <row r="818" ht="15.75" customHeight="1">
      <c r="A818" s="64"/>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row>
    <row r="819" ht="15.75" customHeight="1">
      <c r="A819" s="64"/>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row>
    <row r="820" ht="15.75" customHeight="1">
      <c r="A820" s="64"/>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row>
    <row r="821" ht="15.75" customHeight="1">
      <c r="A821" s="64"/>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row>
    <row r="822" ht="15.75" customHeight="1">
      <c r="A822" s="64"/>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row>
    <row r="823" ht="15.75" customHeight="1">
      <c r="A823" s="64"/>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row>
    <row r="824" ht="15.75" customHeight="1">
      <c r="A824" s="64"/>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row>
    <row r="825" ht="15.75" customHeight="1">
      <c r="A825" s="64"/>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row>
    <row r="826" ht="15.75" customHeight="1">
      <c r="A826" s="64"/>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row>
    <row r="827" ht="15.75" customHeight="1">
      <c r="A827" s="64"/>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row>
    <row r="828" ht="15.75" customHeight="1">
      <c r="A828" s="64"/>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row>
    <row r="829" ht="15.75" customHeight="1">
      <c r="A829" s="64"/>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row>
    <row r="830" ht="15.75" customHeight="1">
      <c r="A830" s="64"/>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row>
    <row r="831" ht="15.75" customHeight="1">
      <c r="A831" s="64"/>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row>
    <row r="832" ht="15.75" customHeight="1">
      <c r="A832" s="64"/>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row>
    <row r="833" ht="15.75" customHeight="1">
      <c r="A833" s="64"/>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row>
    <row r="834" ht="15.75" customHeight="1">
      <c r="A834" s="64"/>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row>
    <row r="835" ht="15.75" customHeight="1">
      <c r="A835" s="64"/>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row>
    <row r="836" ht="15.75" customHeight="1">
      <c r="A836" s="64"/>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row>
    <row r="837" ht="15.75" customHeight="1">
      <c r="A837" s="64"/>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row>
    <row r="838" ht="15.75" customHeight="1">
      <c r="A838" s="64"/>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row>
    <row r="839" ht="15.75" customHeight="1">
      <c r="A839" s="64"/>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row>
    <row r="840" ht="15.75" customHeight="1">
      <c r="A840" s="64"/>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row>
    <row r="841" ht="15.75" customHeight="1">
      <c r="A841" s="64"/>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row>
    <row r="842" ht="15.75" customHeight="1">
      <c r="A842" s="64"/>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row>
    <row r="843" ht="15.75" customHeight="1">
      <c r="A843" s="64"/>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row>
    <row r="844" ht="15.75" customHeight="1">
      <c r="A844" s="64"/>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row>
    <row r="845" ht="15.75" customHeight="1">
      <c r="A845" s="64"/>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row>
    <row r="846" ht="15.75" customHeight="1">
      <c r="A846" s="64"/>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row>
    <row r="847" ht="15.75" customHeight="1">
      <c r="A847" s="64"/>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row>
    <row r="848" ht="15.75" customHeight="1">
      <c r="A848" s="64"/>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row>
    <row r="849" ht="15.75" customHeight="1">
      <c r="A849" s="64"/>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row>
    <row r="850" ht="15.75" customHeight="1">
      <c r="A850" s="64"/>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row>
    <row r="851" ht="15.75" customHeight="1">
      <c r="A851" s="64"/>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row>
    <row r="852" ht="15.75" customHeight="1">
      <c r="A852" s="64"/>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row>
    <row r="853" ht="15.75" customHeight="1">
      <c r="A853" s="64"/>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row>
    <row r="854" ht="15.75" customHeight="1">
      <c r="A854" s="64"/>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row>
    <row r="855" ht="15.75" customHeight="1">
      <c r="A855" s="64"/>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row>
    <row r="856" ht="15.75" customHeight="1">
      <c r="A856" s="64"/>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row>
    <row r="857" ht="15.75" customHeight="1">
      <c r="A857" s="64"/>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row>
    <row r="858" ht="15.75" customHeight="1">
      <c r="A858" s="64"/>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row>
    <row r="859" ht="15.75" customHeight="1">
      <c r="A859" s="64"/>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row>
    <row r="860" ht="15.75" customHeight="1">
      <c r="A860" s="64"/>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row>
    <row r="861" ht="15.75" customHeight="1">
      <c r="A861" s="64"/>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row>
    <row r="862" ht="15.75" customHeight="1">
      <c r="A862" s="64"/>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row>
    <row r="863" ht="15.75" customHeight="1">
      <c r="A863" s="64"/>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row>
    <row r="864" ht="15.75" customHeight="1">
      <c r="A864" s="64"/>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row>
    <row r="865" ht="15.75" customHeight="1">
      <c r="A865" s="64"/>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row>
    <row r="866" ht="15.75" customHeight="1">
      <c r="A866" s="64"/>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row>
    <row r="867" ht="15.75" customHeight="1">
      <c r="A867" s="64"/>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row>
    <row r="868" ht="15.75" customHeight="1">
      <c r="A868" s="64"/>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row>
    <row r="869" ht="15.75" customHeight="1">
      <c r="A869" s="64"/>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row>
    <row r="870" ht="15.75" customHeight="1">
      <c r="A870" s="64"/>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row>
    <row r="871" ht="15.75" customHeight="1">
      <c r="A871" s="64"/>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row>
    <row r="872" ht="15.75" customHeight="1">
      <c r="A872" s="64"/>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row>
    <row r="873" ht="15.75" customHeight="1">
      <c r="A873" s="64"/>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row>
    <row r="874" ht="15.75" customHeight="1">
      <c r="A874" s="64"/>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row>
    <row r="875" ht="15.75" customHeight="1">
      <c r="A875" s="64"/>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row>
    <row r="876" ht="15.75" customHeight="1">
      <c r="A876" s="64"/>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row>
    <row r="877" ht="15.75" customHeight="1">
      <c r="A877" s="64"/>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row>
    <row r="878" ht="15.75" customHeight="1">
      <c r="A878" s="64"/>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row>
    <row r="879" ht="15.75" customHeight="1">
      <c r="A879" s="64"/>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row>
    <row r="880" ht="15.75" customHeight="1">
      <c r="A880" s="64"/>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row>
    <row r="881" ht="15.75" customHeight="1">
      <c r="A881" s="64"/>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row>
    <row r="882" ht="15.75" customHeight="1">
      <c r="A882" s="64"/>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row>
    <row r="883" ht="15.75" customHeight="1">
      <c r="A883" s="64"/>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row>
    <row r="884" ht="15.75" customHeight="1">
      <c r="A884" s="64"/>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row>
    <row r="885" ht="15.75" customHeight="1">
      <c r="A885" s="64"/>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row>
    <row r="886" ht="15.75" customHeight="1">
      <c r="A886" s="64"/>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row>
    <row r="887" ht="15.75" customHeight="1">
      <c r="A887" s="64"/>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row>
    <row r="888" ht="15.75" customHeight="1">
      <c r="A888" s="64"/>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row>
    <row r="889" ht="15.75" customHeight="1">
      <c r="A889" s="64"/>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row>
    <row r="890" ht="15.75" customHeight="1">
      <c r="A890" s="64"/>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row>
    <row r="891" ht="15.75" customHeight="1">
      <c r="A891" s="64"/>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row>
    <row r="892" ht="15.75" customHeight="1">
      <c r="A892" s="64"/>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row>
    <row r="893" ht="15.75" customHeight="1">
      <c r="A893" s="64"/>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row>
    <row r="894" ht="15.75" customHeight="1">
      <c r="A894" s="64"/>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row>
    <row r="895" ht="15.75" customHeight="1">
      <c r="A895" s="64"/>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row>
    <row r="896" ht="15.75" customHeight="1">
      <c r="A896" s="64"/>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row>
    <row r="897" ht="15.75" customHeight="1">
      <c r="A897" s="64"/>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row>
    <row r="898" ht="15.75" customHeight="1">
      <c r="A898" s="64"/>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row>
    <row r="899" ht="15.75" customHeight="1">
      <c r="A899" s="64"/>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row>
    <row r="900" ht="15.75" customHeight="1">
      <c r="A900" s="64"/>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row>
    <row r="901" ht="15.75" customHeight="1">
      <c r="A901" s="64"/>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row>
    <row r="902" ht="15.75" customHeight="1">
      <c r="A902" s="64"/>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row>
    <row r="903" ht="15.75" customHeight="1">
      <c r="A903" s="64"/>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row>
    <row r="904" ht="15.75" customHeight="1">
      <c r="A904" s="64"/>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row>
    <row r="905" ht="15.75" customHeight="1">
      <c r="A905" s="64"/>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row>
    <row r="906" ht="15.75" customHeight="1">
      <c r="A906" s="64"/>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row>
    <row r="907" ht="15.75" customHeight="1">
      <c r="A907" s="64"/>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row>
    <row r="908" ht="15.75" customHeight="1">
      <c r="A908" s="64"/>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row>
    <row r="909" ht="15.75" customHeight="1">
      <c r="A909" s="64"/>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row>
    <row r="910" ht="15.75" customHeight="1">
      <c r="A910" s="64"/>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row>
    <row r="911" ht="15.75" customHeight="1">
      <c r="A911" s="64"/>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row>
    <row r="912" ht="15.75" customHeight="1">
      <c r="A912" s="64"/>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row>
    <row r="913" ht="15.75" customHeight="1">
      <c r="A913" s="64"/>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row>
    <row r="914" ht="15.75" customHeight="1">
      <c r="A914" s="64"/>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row>
    <row r="915" ht="15.75" customHeight="1">
      <c r="A915" s="64"/>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row>
    <row r="916" ht="15.75" customHeight="1">
      <c r="A916" s="64"/>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row>
    <row r="917" ht="15.75" customHeight="1">
      <c r="A917" s="64"/>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row>
    <row r="918" ht="15.75" customHeight="1">
      <c r="A918" s="64"/>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row>
    <row r="919" ht="15.75" customHeight="1">
      <c r="A919" s="64"/>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row>
    <row r="920" ht="15.75" customHeight="1">
      <c r="A920" s="64"/>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row>
    <row r="921" ht="15.75" customHeight="1">
      <c r="A921" s="64"/>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row>
    <row r="922" ht="15.75" customHeight="1">
      <c r="A922" s="64"/>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row>
    <row r="923" ht="15.75" customHeight="1">
      <c r="A923" s="64"/>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row>
    <row r="924" ht="15.75" customHeight="1">
      <c r="A924" s="64"/>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row>
    <row r="925" ht="15.75" customHeight="1">
      <c r="A925" s="64"/>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row>
    <row r="926" ht="15.75" customHeight="1">
      <c r="A926" s="64"/>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row>
    <row r="927" ht="15.75" customHeight="1">
      <c r="A927" s="64"/>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row>
    <row r="928" ht="15.75" customHeight="1">
      <c r="A928" s="64"/>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row>
    <row r="929" ht="15.75" customHeight="1">
      <c r="A929" s="64"/>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row>
    <row r="930" ht="15.75" customHeight="1">
      <c r="A930" s="64"/>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row>
    <row r="931" ht="15.75" customHeight="1">
      <c r="A931" s="64"/>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row>
    <row r="932" ht="15.75" customHeight="1">
      <c r="A932" s="64"/>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row>
    <row r="933" ht="15.75" customHeight="1">
      <c r="A933" s="64"/>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row>
    <row r="934" ht="15.75" customHeight="1">
      <c r="A934" s="64"/>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row>
    <row r="935" ht="15.75" customHeight="1">
      <c r="A935" s="64"/>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row>
    <row r="936" ht="15.75" customHeight="1">
      <c r="A936" s="64"/>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row>
    <row r="937" ht="15.75" customHeight="1">
      <c r="A937" s="64"/>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row>
    <row r="938" ht="15.75" customHeight="1">
      <c r="A938" s="64"/>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row>
    <row r="939" ht="15.75" customHeight="1">
      <c r="A939" s="64"/>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row>
    <row r="940" ht="15.75" customHeight="1">
      <c r="A940" s="64"/>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row>
    <row r="941" ht="15.75" customHeight="1">
      <c r="A941" s="64"/>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row>
    <row r="942" ht="15.75" customHeight="1">
      <c r="A942" s="64"/>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row>
    <row r="943" ht="15.75" customHeight="1">
      <c r="A943" s="64"/>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row>
    <row r="944" ht="15.75" customHeight="1">
      <c r="A944" s="64"/>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row>
    <row r="945" ht="15.75" customHeight="1">
      <c r="A945" s="64"/>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row>
    <row r="946" ht="15.75" customHeight="1">
      <c r="A946" s="64"/>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row>
    <row r="947" ht="15.75" customHeight="1">
      <c r="A947" s="64"/>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row>
    <row r="948" ht="15.75" customHeight="1">
      <c r="A948" s="64"/>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row>
    <row r="949" ht="15.75" customHeight="1">
      <c r="A949" s="64"/>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row>
    <row r="950" ht="15.75" customHeight="1">
      <c r="A950" s="64"/>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row>
    <row r="951" ht="15.75" customHeight="1">
      <c r="A951" s="64"/>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row>
    <row r="952" ht="15.75" customHeight="1">
      <c r="A952" s="64"/>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row>
    <row r="953" ht="15.75" customHeight="1">
      <c r="A953" s="64"/>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row>
    <row r="954" ht="15.75" customHeight="1">
      <c r="A954" s="64"/>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row>
    <row r="955" ht="15.75" customHeight="1">
      <c r="A955" s="64"/>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row>
    <row r="956" ht="15.75" customHeight="1">
      <c r="A956" s="64"/>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row>
    <row r="957" ht="15.75" customHeight="1">
      <c r="A957" s="64"/>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row>
    <row r="958" ht="15.75" customHeight="1">
      <c r="A958" s="64"/>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row>
    <row r="959" ht="15.75" customHeight="1">
      <c r="A959" s="64"/>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row>
    <row r="960" ht="15.75" customHeight="1">
      <c r="A960" s="64"/>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row>
    <row r="961" ht="15.75" customHeight="1">
      <c r="A961" s="64"/>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row>
    <row r="962" ht="15.75" customHeight="1">
      <c r="A962" s="64"/>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row>
    <row r="963" ht="15.75" customHeight="1">
      <c r="A963" s="64"/>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row>
    <row r="964" ht="15.75" customHeight="1">
      <c r="A964" s="64"/>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row>
    <row r="965" ht="15.75" customHeight="1">
      <c r="A965" s="64"/>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row>
    <row r="966" ht="15.75" customHeight="1">
      <c r="A966" s="64"/>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row>
    <row r="967" ht="15.75" customHeight="1">
      <c r="A967" s="64"/>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row>
    <row r="968" ht="15.75" customHeight="1">
      <c r="A968" s="64"/>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row>
    <row r="969" ht="15.75" customHeight="1">
      <c r="A969" s="64"/>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row>
    <row r="970" ht="15.75" customHeight="1">
      <c r="A970" s="64"/>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row>
    <row r="971" ht="15.75" customHeight="1">
      <c r="A971" s="64"/>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row>
    <row r="972" ht="15.75" customHeight="1">
      <c r="A972" s="64"/>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row>
    <row r="973" ht="15.75" customHeight="1">
      <c r="A973" s="64"/>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row>
    <row r="974" ht="15.75" customHeight="1">
      <c r="A974" s="64"/>
      <c r="B974" s="64"/>
      <c r="C974" s="64"/>
      <c r="D974" s="64"/>
      <c r="E974" s="64"/>
      <c r="F974" s="64"/>
      <c r="G974" s="64"/>
      <c r="H974" s="64"/>
      <c r="I974" s="64"/>
      <c r="J974" s="64"/>
      <c r="K974" s="64"/>
      <c r="L974" s="64"/>
      <c r="M974" s="64"/>
      <c r="N974" s="64"/>
      <c r="O974" s="64"/>
      <c r="P974" s="64"/>
      <c r="Q974" s="64"/>
      <c r="R974" s="64"/>
      <c r="S974" s="64"/>
      <c r="T974" s="64"/>
      <c r="U974" s="64"/>
      <c r="V974" s="64"/>
      <c r="W974" s="64"/>
      <c r="X974" s="64"/>
      <c r="Y974" s="64"/>
      <c r="Z974" s="64"/>
    </row>
    <row r="975" ht="15.75" customHeight="1">
      <c r="A975" s="64"/>
      <c r="B975" s="64"/>
      <c r="C975" s="64"/>
      <c r="D975" s="64"/>
      <c r="E975" s="64"/>
      <c r="F975" s="64"/>
      <c r="G975" s="64"/>
      <c r="H975" s="64"/>
      <c r="I975" s="64"/>
      <c r="J975" s="64"/>
      <c r="K975" s="64"/>
      <c r="L975" s="64"/>
      <c r="M975" s="64"/>
      <c r="N975" s="64"/>
      <c r="O975" s="64"/>
      <c r="P975" s="64"/>
      <c r="Q975" s="64"/>
      <c r="R975" s="64"/>
      <c r="S975" s="64"/>
      <c r="T975" s="64"/>
      <c r="U975" s="64"/>
      <c r="V975" s="64"/>
      <c r="W975" s="64"/>
      <c r="X975" s="64"/>
      <c r="Y975" s="64"/>
      <c r="Z975" s="64"/>
    </row>
    <row r="976" ht="15.75" customHeight="1">
      <c r="A976" s="64"/>
      <c r="B976" s="64"/>
      <c r="C976" s="64"/>
      <c r="D976" s="64"/>
      <c r="E976" s="64"/>
      <c r="F976" s="64"/>
      <c r="G976" s="64"/>
      <c r="H976" s="64"/>
      <c r="I976" s="64"/>
      <c r="J976" s="64"/>
      <c r="K976" s="64"/>
      <c r="L976" s="64"/>
      <c r="M976" s="64"/>
      <c r="N976" s="64"/>
      <c r="O976" s="64"/>
      <c r="P976" s="64"/>
      <c r="Q976" s="64"/>
      <c r="R976" s="64"/>
      <c r="S976" s="64"/>
      <c r="T976" s="64"/>
      <c r="U976" s="64"/>
      <c r="V976" s="64"/>
      <c r="W976" s="64"/>
      <c r="X976" s="64"/>
      <c r="Y976" s="64"/>
      <c r="Z976" s="64"/>
    </row>
    <row r="977" ht="15.75" customHeight="1">
      <c r="A977" s="64"/>
      <c r="B977" s="64"/>
      <c r="C977" s="64"/>
      <c r="D977" s="64"/>
      <c r="E977" s="64"/>
      <c r="F977" s="64"/>
      <c r="G977" s="64"/>
      <c r="H977" s="64"/>
      <c r="I977" s="64"/>
      <c r="J977" s="64"/>
      <c r="K977" s="64"/>
      <c r="L977" s="64"/>
      <c r="M977" s="64"/>
      <c r="N977" s="64"/>
      <c r="O977" s="64"/>
      <c r="P977" s="64"/>
      <c r="Q977" s="64"/>
      <c r="R977" s="64"/>
      <c r="S977" s="64"/>
      <c r="T977" s="64"/>
      <c r="U977" s="64"/>
      <c r="V977" s="64"/>
      <c r="W977" s="64"/>
      <c r="X977" s="64"/>
      <c r="Y977" s="64"/>
      <c r="Z977" s="64"/>
    </row>
    <row r="978" ht="15.75" customHeight="1">
      <c r="A978" s="64"/>
      <c r="B978" s="64"/>
      <c r="C978" s="64"/>
      <c r="D978" s="64"/>
      <c r="E978" s="64"/>
      <c r="F978" s="64"/>
      <c r="G978" s="64"/>
      <c r="H978" s="64"/>
      <c r="I978" s="64"/>
      <c r="J978" s="64"/>
      <c r="K978" s="64"/>
      <c r="L978" s="64"/>
      <c r="M978" s="64"/>
      <c r="N978" s="64"/>
      <c r="O978" s="64"/>
      <c r="P978" s="64"/>
      <c r="Q978" s="64"/>
      <c r="R978" s="64"/>
      <c r="S978" s="64"/>
      <c r="T978" s="64"/>
      <c r="U978" s="64"/>
      <c r="V978" s="64"/>
      <c r="W978" s="64"/>
      <c r="X978" s="64"/>
      <c r="Y978" s="64"/>
      <c r="Z978" s="64"/>
    </row>
    <row r="979" ht="15.75" customHeight="1">
      <c r="A979" s="64"/>
      <c r="B979" s="64"/>
      <c r="C979" s="64"/>
      <c r="D979" s="64"/>
      <c r="E979" s="64"/>
      <c r="F979" s="64"/>
      <c r="G979" s="64"/>
      <c r="H979" s="64"/>
      <c r="I979" s="64"/>
      <c r="J979" s="64"/>
      <c r="K979" s="64"/>
      <c r="L979" s="64"/>
      <c r="M979" s="64"/>
      <c r="N979" s="64"/>
      <c r="O979" s="64"/>
      <c r="P979" s="64"/>
      <c r="Q979" s="64"/>
      <c r="R979" s="64"/>
      <c r="S979" s="64"/>
      <c r="T979" s="64"/>
      <c r="U979" s="64"/>
      <c r="V979" s="64"/>
      <c r="W979" s="64"/>
      <c r="X979" s="64"/>
      <c r="Y979" s="64"/>
      <c r="Z979" s="64"/>
    </row>
    <row r="980" ht="15.75" customHeight="1">
      <c r="A980" s="64"/>
      <c r="B980" s="64"/>
      <c r="C980" s="64"/>
      <c r="D980" s="64"/>
      <c r="E980" s="64"/>
      <c r="F980" s="64"/>
      <c r="G980" s="64"/>
      <c r="H980" s="64"/>
      <c r="I980" s="64"/>
      <c r="J980" s="64"/>
      <c r="K980" s="64"/>
      <c r="L980" s="64"/>
      <c r="M980" s="64"/>
      <c r="N980" s="64"/>
      <c r="O980" s="64"/>
      <c r="P980" s="64"/>
      <c r="Q980" s="64"/>
      <c r="R980" s="64"/>
      <c r="S980" s="64"/>
      <c r="T980" s="64"/>
      <c r="U980" s="64"/>
      <c r="V980" s="64"/>
      <c r="W980" s="64"/>
      <c r="X980" s="64"/>
      <c r="Y980" s="64"/>
      <c r="Z980" s="64"/>
    </row>
    <row r="981" ht="15.75" customHeight="1">
      <c r="A981" s="64"/>
      <c r="B981" s="64"/>
      <c r="C981" s="64"/>
      <c r="D981" s="64"/>
      <c r="E981" s="64"/>
      <c r="F981" s="64"/>
      <c r="G981" s="64"/>
      <c r="H981" s="64"/>
      <c r="I981" s="64"/>
      <c r="J981" s="64"/>
      <c r="K981" s="64"/>
      <c r="L981" s="64"/>
      <c r="M981" s="64"/>
      <c r="N981" s="64"/>
      <c r="O981" s="64"/>
      <c r="P981" s="64"/>
      <c r="Q981" s="64"/>
      <c r="R981" s="64"/>
      <c r="S981" s="64"/>
      <c r="T981" s="64"/>
      <c r="U981" s="64"/>
      <c r="V981" s="64"/>
      <c r="W981" s="64"/>
      <c r="X981" s="64"/>
      <c r="Y981" s="64"/>
      <c r="Z981" s="64"/>
    </row>
    <row r="982" ht="15.75" customHeight="1">
      <c r="A982" s="64"/>
      <c r="B982" s="64"/>
      <c r="C982" s="64"/>
      <c r="D982" s="64"/>
      <c r="E982" s="64"/>
      <c r="F982" s="64"/>
      <c r="G982" s="64"/>
      <c r="H982" s="64"/>
      <c r="I982" s="64"/>
      <c r="J982" s="64"/>
      <c r="K982" s="64"/>
      <c r="L982" s="64"/>
      <c r="M982" s="64"/>
      <c r="N982" s="64"/>
      <c r="O982" s="64"/>
      <c r="P982" s="64"/>
      <c r="Q982" s="64"/>
      <c r="R982" s="64"/>
      <c r="S982" s="64"/>
      <c r="T982" s="64"/>
      <c r="U982" s="64"/>
      <c r="V982" s="64"/>
      <c r="W982" s="64"/>
      <c r="X982" s="64"/>
      <c r="Y982" s="64"/>
      <c r="Z982" s="64"/>
    </row>
    <row r="983" ht="15.75" customHeight="1">
      <c r="A983" s="64"/>
      <c r="B983" s="64"/>
      <c r="C983" s="64"/>
      <c r="D983" s="64"/>
      <c r="E983" s="64"/>
      <c r="F983" s="64"/>
      <c r="G983" s="64"/>
      <c r="H983" s="64"/>
      <c r="I983" s="64"/>
      <c r="J983" s="64"/>
      <c r="K983" s="64"/>
      <c r="L983" s="64"/>
      <c r="M983" s="64"/>
      <c r="N983" s="64"/>
      <c r="O983" s="64"/>
      <c r="P983" s="64"/>
      <c r="Q983" s="64"/>
      <c r="R983" s="64"/>
      <c r="S983" s="64"/>
      <c r="T983" s="64"/>
      <c r="U983" s="64"/>
      <c r="V983" s="64"/>
      <c r="W983" s="64"/>
      <c r="X983" s="64"/>
      <c r="Y983" s="64"/>
      <c r="Z983" s="64"/>
    </row>
    <row r="984" ht="15.75" customHeight="1">
      <c r="A984" s="64"/>
      <c r="B984" s="64"/>
      <c r="C984" s="64"/>
      <c r="D984" s="64"/>
      <c r="E984" s="64"/>
      <c r="F984" s="64"/>
      <c r="G984" s="64"/>
      <c r="H984" s="64"/>
      <c r="I984" s="64"/>
      <c r="J984" s="64"/>
      <c r="K984" s="64"/>
      <c r="L984" s="64"/>
      <c r="M984" s="64"/>
      <c r="N984" s="64"/>
      <c r="O984" s="64"/>
      <c r="P984" s="64"/>
      <c r="Q984" s="64"/>
      <c r="R984" s="64"/>
      <c r="S984" s="64"/>
      <c r="T984" s="64"/>
      <c r="U984" s="64"/>
      <c r="V984" s="64"/>
      <c r="W984" s="64"/>
      <c r="X984" s="64"/>
      <c r="Y984" s="64"/>
      <c r="Z984" s="64"/>
    </row>
    <row r="985" ht="15.75" customHeight="1">
      <c r="A985" s="64"/>
      <c r="B985" s="64"/>
      <c r="C985" s="64"/>
      <c r="D985" s="64"/>
      <c r="E985" s="64"/>
      <c r="F985" s="64"/>
      <c r="G985" s="64"/>
      <c r="H985" s="64"/>
      <c r="I985" s="64"/>
      <c r="J985" s="64"/>
      <c r="K985" s="64"/>
      <c r="L985" s="64"/>
      <c r="M985" s="64"/>
      <c r="N985" s="64"/>
      <c r="O985" s="64"/>
      <c r="P985" s="64"/>
      <c r="Q985" s="64"/>
      <c r="R985" s="64"/>
      <c r="S985" s="64"/>
      <c r="T985" s="64"/>
      <c r="U985" s="64"/>
      <c r="V985" s="64"/>
      <c r="W985" s="64"/>
      <c r="X985" s="64"/>
      <c r="Y985" s="64"/>
      <c r="Z985" s="64"/>
    </row>
    <row r="986" ht="15.75" customHeight="1">
      <c r="A986" s="64"/>
      <c r="B986" s="64"/>
      <c r="C986" s="64"/>
      <c r="D986" s="64"/>
      <c r="E986" s="64"/>
      <c r="F986" s="64"/>
      <c r="G986" s="64"/>
      <c r="H986" s="64"/>
      <c r="I986" s="64"/>
      <c r="J986" s="64"/>
      <c r="K986" s="64"/>
      <c r="L986" s="64"/>
      <c r="M986" s="64"/>
      <c r="N986" s="64"/>
      <c r="O986" s="64"/>
      <c r="P986" s="64"/>
      <c r="Q986" s="64"/>
      <c r="R986" s="64"/>
      <c r="S986" s="64"/>
      <c r="T986" s="64"/>
      <c r="U986" s="64"/>
      <c r="V986" s="64"/>
      <c r="W986" s="64"/>
      <c r="X986" s="64"/>
      <c r="Y986" s="64"/>
      <c r="Z986" s="64"/>
    </row>
    <row r="987" ht="15.75" customHeight="1">
      <c r="A987" s="64"/>
      <c r="B987" s="64"/>
      <c r="C987" s="64"/>
      <c r="D987" s="64"/>
      <c r="E987" s="64"/>
      <c r="F987" s="64"/>
      <c r="G987" s="64"/>
      <c r="H987" s="64"/>
      <c r="I987" s="64"/>
      <c r="J987" s="64"/>
      <c r="K987" s="64"/>
      <c r="L987" s="64"/>
      <c r="M987" s="64"/>
      <c r="N987" s="64"/>
      <c r="O987" s="64"/>
      <c r="P987" s="64"/>
      <c r="Q987" s="64"/>
      <c r="R987" s="64"/>
      <c r="S987" s="64"/>
      <c r="T987" s="64"/>
      <c r="U987" s="64"/>
      <c r="V987" s="64"/>
      <c r="W987" s="64"/>
      <c r="X987" s="64"/>
      <c r="Y987" s="64"/>
      <c r="Z987" s="64"/>
    </row>
    <row r="988" ht="15.75" customHeight="1">
      <c r="A988" s="64"/>
      <c r="B988" s="64"/>
      <c r="C988" s="64"/>
      <c r="D988" s="64"/>
      <c r="E988" s="64"/>
      <c r="F988" s="64"/>
      <c r="G988" s="64"/>
      <c r="H988" s="64"/>
      <c r="I988" s="64"/>
      <c r="J988" s="64"/>
      <c r="K988" s="64"/>
      <c r="L988" s="64"/>
      <c r="M988" s="64"/>
      <c r="N988" s="64"/>
      <c r="O988" s="64"/>
      <c r="P988" s="64"/>
      <c r="Q988" s="64"/>
      <c r="R988" s="64"/>
      <c r="S988" s="64"/>
      <c r="T988" s="64"/>
      <c r="U988" s="64"/>
      <c r="V988" s="64"/>
      <c r="W988" s="64"/>
      <c r="X988" s="64"/>
      <c r="Y988" s="64"/>
      <c r="Z988" s="64"/>
    </row>
    <row r="989" ht="15.75" customHeight="1">
      <c r="A989" s="64"/>
      <c r="B989" s="64"/>
      <c r="C989" s="64"/>
      <c r="D989" s="64"/>
      <c r="E989" s="64"/>
      <c r="F989" s="64"/>
      <c r="G989" s="64"/>
      <c r="H989" s="64"/>
      <c r="I989" s="64"/>
      <c r="J989" s="64"/>
      <c r="K989" s="64"/>
      <c r="L989" s="64"/>
      <c r="M989" s="64"/>
      <c r="N989" s="64"/>
      <c r="O989" s="64"/>
      <c r="P989" s="64"/>
      <c r="Q989" s="64"/>
      <c r="R989" s="64"/>
      <c r="S989" s="64"/>
      <c r="T989" s="64"/>
      <c r="U989" s="64"/>
      <c r="V989" s="64"/>
      <c r="W989" s="64"/>
      <c r="X989" s="64"/>
      <c r="Y989" s="64"/>
      <c r="Z989" s="64"/>
    </row>
    <row r="990" ht="15.75" customHeight="1">
      <c r="A990" s="64"/>
      <c r="B990" s="64"/>
      <c r="C990" s="64"/>
      <c r="D990" s="64"/>
      <c r="E990" s="64"/>
      <c r="F990" s="64"/>
      <c r="G990" s="64"/>
      <c r="H990" s="64"/>
      <c r="I990" s="64"/>
      <c r="J990" s="64"/>
      <c r="K990" s="64"/>
      <c r="L990" s="64"/>
      <c r="M990" s="64"/>
      <c r="N990" s="64"/>
      <c r="O990" s="64"/>
      <c r="P990" s="64"/>
      <c r="Q990" s="64"/>
      <c r="R990" s="64"/>
      <c r="S990" s="64"/>
      <c r="T990" s="64"/>
      <c r="U990" s="64"/>
      <c r="V990" s="64"/>
      <c r="W990" s="64"/>
      <c r="X990" s="64"/>
      <c r="Y990" s="64"/>
      <c r="Z990" s="64"/>
    </row>
    <row r="991" ht="15.75" customHeight="1">
      <c r="A991" s="64"/>
      <c r="B991" s="64"/>
      <c r="C991" s="64"/>
      <c r="D991" s="64"/>
      <c r="E991" s="64"/>
      <c r="F991" s="64"/>
      <c r="G991" s="64"/>
      <c r="H991" s="64"/>
      <c r="I991" s="64"/>
      <c r="J991" s="64"/>
      <c r="K991" s="64"/>
      <c r="L991" s="64"/>
      <c r="M991" s="64"/>
      <c r="N991" s="64"/>
      <c r="O991" s="64"/>
      <c r="P991" s="64"/>
      <c r="Q991" s="64"/>
      <c r="R991" s="64"/>
      <c r="S991" s="64"/>
      <c r="T991" s="64"/>
      <c r="U991" s="64"/>
      <c r="V991" s="64"/>
      <c r="W991" s="64"/>
      <c r="X991" s="64"/>
      <c r="Y991" s="64"/>
      <c r="Z991" s="64"/>
    </row>
    <row r="992" ht="15.75" customHeight="1">
      <c r="A992" s="64"/>
      <c r="B992" s="64"/>
      <c r="C992" s="64"/>
      <c r="D992" s="64"/>
      <c r="E992" s="64"/>
      <c r="F992" s="64"/>
      <c r="G992" s="64"/>
      <c r="H992" s="64"/>
      <c r="I992" s="64"/>
      <c r="J992" s="64"/>
      <c r="K992" s="64"/>
      <c r="L992" s="64"/>
      <c r="M992" s="64"/>
      <c r="N992" s="64"/>
      <c r="O992" s="64"/>
      <c r="P992" s="64"/>
      <c r="Q992" s="64"/>
      <c r="R992" s="64"/>
      <c r="S992" s="64"/>
      <c r="T992" s="64"/>
      <c r="U992" s="64"/>
      <c r="V992" s="64"/>
      <c r="W992" s="64"/>
      <c r="X992" s="64"/>
      <c r="Y992" s="64"/>
      <c r="Z992" s="64"/>
    </row>
    <row r="993" ht="15.75" customHeight="1">
      <c r="A993" s="64"/>
      <c r="B993" s="64"/>
      <c r="C993" s="64"/>
      <c r="D993" s="64"/>
      <c r="E993" s="64"/>
      <c r="F993" s="64"/>
      <c r="G993" s="64"/>
      <c r="H993" s="64"/>
      <c r="I993" s="64"/>
      <c r="J993" s="64"/>
      <c r="K993" s="64"/>
      <c r="L993" s="64"/>
      <c r="M993" s="64"/>
      <c r="N993" s="64"/>
      <c r="O993" s="64"/>
      <c r="P993" s="64"/>
      <c r="Q993" s="64"/>
      <c r="R993" s="64"/>
      <c r="S993" s="64"/>
      <c r="T993" s="64"/>
      <c r="U993" s="64"/>
      <c r="V993" s="64"/>
      <c r="W993" s="64"/>
      <c r="X993" s="64"/>
      <c r="Y993" s="64"/>
      <c r="Z993" s="64"/>
    </row>
    <row r="994" ht="15.75" customHeight="1">
      <c r="A994" s="64"/>
      <c r="B994" s="64"/>
      <c r="C994" s="64"/>
      <c r="D994" s="64"/>
      <c r="E994" s="64"/>
      <c r="F994" s="64"/>
      <c r="G994" s="64"/>
      <c r="H994" s="64"/>
      <c r="I994" s="64"/>
      <c r="J994" s="64"/>
      <c r="K994" s="64"/>
      <c r="L994" s="64"/>
      <c r="M994" s="64"/>
      <c r="N994" s="64"/>
      <c r="O994" s="64"/>
      <c r="P994" s="64"/>
      <c r="Q994" s="64"/>
      <c r="R994" s="64"/>
      <c r="S994" s="64"/>
      <c r="T994" s="64"/>
      <c r="U994" s="64"/>
      <c r="V994" s="64"/>
      <c r="W994" s="64"/>
      <c r="X994" s="64"/>
      <c r="Y994" s="64"/>
      <c r="Z994" s="64"/>
    </row>
    <row r="995" ht="15.75" customHeight="1">
      <c r="A995" s="64"/>
      <c r="B995" s="64"/>
      <c r="C995" s="64"/>
      <c r="D995" s="64"/>
      <c r="E995" s="64"/>
      <c r="F995" s="64"/>
      <c r="G995" s="64"/>
      <c r="H995" s="64"/>
      <c r="I995" s="64"/>
      <c r="J995" s="64"/>
      <c r="K995" s="64"/>
      <c r="L995" s="64"/>
      <c r="M995" s="64"/>
      <c r="N995" s="64"/>
      <c r="O995" s="64"/>
      <c r="P995" s="64"/>
      <c r="Q995" s="64"/>
      <c r="R995" s="64"/>
      <c r="S995" s="64"/>
      <c r="T995" s="64"/>
      <c r="U995" s="64"/>
      <c r="V995" s="64"/>
      <c r="W995" s="64"/>
      <c r="X995" s="64"/>
      <c r="Y995" s="64"/>
      <c r="Z995" s="64"/>
    </row>
    <row r="996" ht="15.75" customHeight="1">
      <c r="A996" s="64"/>
      <c r="B996" s="64"/>
      <c r="C996" s="64"/>
      <c r="D996" s="64"/>
      <c r="E996" s="64"/>
      <c r="F996" s="64"/>
      <c r="G996" s="64"/>
      <c r="H996" s="64"/>
      <c r="I996" s="64"/>
      <c r="J996" s="64"/>
      <c r="K996" s="64"/>
      <c r="L996" s="64"/>
      <c r="M996" s="64"/>
      <c r="N996" s="64"/>
      <c r="O996" s="64"/>
      <c r="P996" s="64"/>
      <c r="Q996" s="64"/>
      <c r="R996" s="64"/>
      <c r="S996" s="64"/>
      <c r="T996" s="64"/>
      <c r="U996" s="64"/>
      <c r="V996" s="64"/>
      <c r="W996" s="64"/>
      <c r="X996" s="64"/>
      <c r="Y996" s="64"/>
      <c r="Z996" s="64"/>
    </row>
    <row r="997" ht="15.75" customHeight="1">
      <c r="A997" s="64"/>
      <c r="B997" s="64"/>
      <c r="C997" s="64"/>
      <c r="D997" s="64"/>
      <c r="E997" s="64"/>
      <c r="F997" s="64"/>
      <c r="G997" s="64"/>
      <c r="H997" s="64"/>
      <c r="I997" s="64"/>
      <c r="J997" s="64"/>
      <c r="K997" s="64"/>
      <c r="L997" s="64"/>
      <c r="M997" s="64"/>
      <c r="N997" s="64"/>
      <c r="O997" s="64"/>
      <c r="P997" s="64"/>
      <c r="Q997" s="64"/>
      <c r="R997" s="64"/>
      <c r="S997" s="64"/>
      <c r="T997" s="64"/>
      <c r="U997" s="64"/>
      <c r="V997" s="64"/>
      <c r="W997" s="64"/>
      <c r="X997" s="64"/>
      <c r="Y997" s="64"/>
      <c r="Z997" s="64"/>
    </row>
    <row r="998" ht="15.75" customHeight="1">
      <c r="A998" s="64"/>
      <c r="B998" s="64"/>
      <c r="C998" s="64"/>
      <c r="D998" s="64"/>
      <c r="E998" s="64"/>
      <c r="F998" s="64"/>
      <c r="G998" s="64"/>
      <c r="H998" s="64"/>
      <c r="I998" s="64"/>
      <c r="J998" s="64"/>
      <c r="K998" s="64"/>
      <c r="L998" s="64"/>
      <c r="M998" s="64"/>
      <c r="N998" s="64"/>
      <c r="O998" s="64"/>
      <c r="P998" s="64"/>
      <c r="Q998" s="64"/>
      <c r="R998" s="64"/>
      <c r="S998" s="64"/>
      <c r="T998" s="64"/>
      <c r="U998" s="64"/>
      <c r="V998" s="64"/>
      <c r="W998" s="64"/>
      <c r="X998" s="64"/>
      <c r="Y998" s="64"/>
      <c r="Z998" s="64"/>
    </row>
    <row r="999" ht="15.75" customHeight="1">
      <c r="A999" s="64"/>
      <c r="B999" s="64"/>
      <c r="C999" s="64"/>
      <c r="D999" s="64"/>
      <c r="E999" s="64"/>
      <c r="F999" s="64"/>
      <c r="G999" s="64"/>
      <c r="H999" s="64"/>
      <c r="I999" s="64"/>
      <c r="J999" s="64"/>
      <c r="K999" s="64"/>
      <c r="L999" s="64"/>
      <c r="M999" s="64"/>
      <c r="N999" s="64"/>
      <c r="O999" s="64"/>
      <c r="P999" s="64"/>
      <c r="Q999" s="64"/>
      <c r="R999" s="64"/>
      <c r="S999" s="64"/>
      <c r="T999" s="64"/>
      <c r="U999" s="64"/>
      <c r="V999" s="64"/>
      <c r="W999" s="64"/>
      <c r="X999" s="64"/>
      <c r="Y999" s="64"/>
      <c r="Z999" s="64"/>
    </row>
    <row r="1000" ht="15.75" customHeight="1">
      <c r="A1000" s="64"/>
      <c r="B1000" s="64"/>
      <c r="C1000" s="64"/>
      <c r="D1000" s="64"/>
      <c r="E1000" s="64"/>
      <c r="F1000" s="64"/>
      <c r="G1000" s="64"/>
      <c r="H1000" s="64"/>
      <c r="I1000" s="64"/>
      <c r="J1000" s="64"/>
      <c r="K1000" s="64"/>
      <c r="L1000" s="64"/>
      <c r="M1000" s="64"/>
      <c r="N1000" s="64"/>
      <c r="O1000" s="64"/>
      <c r="P1000" s="64"/>
      <c r="Q1000" s="64"/>
      <c r="R1000" s="64"/>
      <c r="S1000" s="64"/>
      <c r="T1000" s="64"/>
      <c r="U1000" s="64"/>
      <c r="V1000" s="64"/>
      <c r="W1000" s="64"/>
      <c r="X1000" s="64"/>
      <c r="Y1000" s="64"/>
      <c r="Z1000" s="64"/>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2026-04-24T07:26:38Z</dcterms:created>
  <dc:creator>openpyxl</dc:creator>
</cp:coreProperties>
</file>